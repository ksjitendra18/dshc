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File Formats\File_format_cersai\File_format\"/>
    </mc:Choice>
  </mc:AlternateContent>
  <bookViews>
    <workbookView xWindow="0" yWindow="0" windowWidth="23040" windowHeight="8460"/>
  </bookViews>
  <sheets>
    <sheet name="Search Request" sheetId="1" r:id="rId1"/>
    <sheet name="Search Response" sheetId="2" r:id="rId2"/>
    <sheet name="Error Response File" sheetId="3" r:id="rId3"/>
    <sheet name="Error Codes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1" l="1"/>
  <c r="A26" i="1" s="1"/>
  <c r="A27" i="1" s="1"/>
  <c r="A26" i="2" l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14" i="2"/>
  <c r="A15" i="2" s="1"/>
  <c r="A32" i="1" l="1"/>
  <c r="A17" i="1"/>
  <c r="A18" i="1" s="1"/>
</calcChain>
</file>

<file path=xl/sharedStrings.xml><?xml version="1.0" encoding="utf-8"?>
<sst xmlns="http://schemas.openxmlformats.org/spreadsheetml/2006/main" count="476" uniqueCount="223">
  <si>
    <t>File Naming Convention</t>
  </si>
  <si>
    <t>Breakup</t>
  </si>
  <si>
    <t>Description</t>
  </si>
  <si>
    <t>File Name</t>
  </si>
  <si>
    <t>FICODE</t>
  </si>
  <si>
    <t>Institute Registration Code as provided by CKYCR</t>
  </si>
  <si>
    <t>DDMMYYYY</t>
  </si>
  <si>
    <t>Current date in DDMMYYYY format</t>
  </si>
  <si>
    <t>nnnnn</t>
  </si>
  <si>
    <t>Running sequence number for the day</t>
  </si>
  <si>
    <t>.SRC</t>
  </si>
  <si>
    <t>Indicates this it’s a Search file</t>
  </si>
  <si>
    <t>Record Type</t>
  </si>
  <si>
    <t>Record Identifier</t>
  </si>
  <si>
    <t>Remarks</t>
  </si>
  <si>
    <t>Header</t>
  </si>
  <si>
    <t>‘10’</t>
  </si>
  <si>
    <t>Detail</t>
  </si>
  <si>
    <t>‘20’</t>
  </si>
  <si>
    <t>Second record onwards, multiple per file.</t>
  </si>
  <si>
    <t>Header Record (10)</t>
  </si>
  <si>
    <t>Sr.no</t>
  </si>
  <si>
    <t>Data Type</t>
  </si>
  <si>
    <t>Size</t>
  </si>
  <si>
    <t>Status</t>
  </si>
  <si>
    <t>Number</t>
  </si>
  <si>
    <t>M</t>
  </si>
  <si>
    <t>10 - Header</t>
  </si>
  <si>
    <t>FI Code</t>
  </si>
  <si>
    <t>Character</t>
  </si>
  <si>
    <t>Region Code</t>
  </si>
  <si>
    <t>Varchar</t>
  </si>
  <si>
    <t>Total No of Detail Records</t>
  </si>
  <si>
    <t>Version Number</t>
  </si>
  <si>
    <t xml:space="preserve">Create Date </t>
  </si>
  <si>
    <t xml:space="preserve">Date </t>
  </si>
  <si>
    <t>'DD-MM-YYYY'</t>
  </si>
  <si>
    <t>Filler 1</t>
  </si>
  <si>
    <t>O</t>
  </si>
  <si>
    <t>Filler 2</t>
  </si>
  <si>
    <t>Filler 3</t>
  </si>
  <si>
    <t>FVU Version Number</t>
  </si>
  <si>
    <t>FVU Version number added by FVU</t>
  </si>
  <si>
    <t>Record level Hash</t>
  </si>
  <si>
    <t>Record level hash value added by FVU</t>
  </si>
  <si>
    <t>File Level Hash</t>
  </si>
  <si>
    <t>File level hash value added by FVU</t>
  </si>
  <si>
    <t>Detail (20)</t>
  </si>
  <si>
    <t>Sr No.</t>
  </si>
  <si>
    <t>20 - Detail Record</t>
  </si>
  <si>
    <t>Line Number</t>
  </si>
  <si>
    <t>Running sequence starting from 1</t>
  </si>
  <si>
    <t>E</t>
  </si>
  <si>
    <t>AvaniJigyasaParikh</t>
  </si>
  <si>
    <t>Client Type</t>
  </si>
  <si>
    <t>I-Individual
L-Legal Entity</t>
  </si>
  <si>
    <t>Search Option</t>
  </si>
  <si>
    <t>CM</t>
  </si>
  <si>
    <t>First Name</t>
  </si>
  <si>
    <t>Middle Name</t>
  </si>
  <si>
    <t>Last Name</t>
  </si>
  <si>
    <t>DOB</t>
  </si>
  <si>
    <t>Date</t>
  </si>
  <si>
    <t>Legal Entity Name</t>
  </si>
  <si>
    <t>Date of Incorporation/ Registration</t>
  </si>
  <si>
    <t>Gender</t>
  </si>
  <si>
    <t>Photo Reference Number</t>
  </si>
  <si>
    <t xml:space="preserve">Relation </t>
  </si>
  <si>
    <t>Relation First Name</t>
  </si>
  <si>
    <t>Relation Middle Name</t>
  </si>
  <si>
    <t>Relation Last Name</t>
  </si>
  <si>
    <t>Mobile Number</t>
  </si>
  <si>
    <t>Verifiable Credential</t>
  </si>
  <si>
    <t>Constitution</t>
  </si>
  <si>
    <t>Record Level Hash</t>
  </si>
  <si>
    <t>Record level Hash Value added by FVU</t>
  </si>
  <si>
    <t>SRC-Search</t>
  </si>
  <si>
    <t>.RES</t>
  </si>
  <si>
    <t>.RES indicates that it’s a response file.</t>
  </si>
  <si>
    <t>m</t>
  </si>
  <si>
    <t>m indicates  response file number</t>
  </si>
  <si>
    <t>As in upload file</t>
  </si>
  <si>
    <t>Total Number of Records</t>
  </si>
  <si>
    <t>Total recods processed</t>
  </si>
  <si>
    <t>Records Under processing</t>
  </si>
  <si>
    <t>Records Failed</t>
  </si>
  <si>
    <t>Response Timestamp</t>
  </si>
  <si>
    <t>Timestamp</t>
  </si>
  <si>
    <t>Filler</t>
  </si>
  <si>
    <t>I - Individual
L - Legal Entity</t>
  </si>
  <si>
    <t>CKYC Reference Number</t>
  </si>
  <si>
    <t>Mandatory only in case of client type is "I"</t>
  </si>
  <si>
    <t>Applicable only in case of client type is "I"</t>
  </si>
  <si>
    <t>Char</t>
  </si>
  <si>
    <t>Applicable for client type "I" and Values:
M-Male
F-Female
T-Transgender</t>
  </si>
  <si>
    <t xml:space="preserve">Mobile No. </t>
  </si>
  <si>
    <t>Masked mobile number with first 2 and last 2 digits visible</t>
  </si>
  <si>
    <t>Email ID</t>
  </si>
  <si>
    <t>Masked email ID with first 2 charachers  and domain visible</t>
  </si>
  <si>
    <t>Last Updated date</t>
  </si>
  <si>
    <t>CIN</t>
  </si>
  <si>
    <t>Legal entity Name</t>
  </si>
  <si>
    <t>Mandatory only in case of client type is "L"</t>
  </si>
  <si>
    <t>Photo Reference</t>
  </si>
  <si>
    <t>Date of Registartion</t>
  </si>
  <si>
    <t>PAN</t>
  </si>
  <si>
    <t xml:space="preserve">Proof of Possession of Aadhaar         </t>
  </si>
  <si>
    <t>Passport</t>
  </si>
  <si>
    <t>Driving License</t>
  </si>
  <si>
    <t>Voters Identity Card</t>
  </si>
  <si>
    <t>NREGA Job Card</t>
  </si>
  <si>
    <t xml:space="preserve">Differently Abled Certificate </t>
  </si>
  <si>
    <t>Form 60/61</t>
  </si>
  <si>
    <t>Documents issued by Government departments of foreign jurisdictions and letter issued by Foreign Embassy or Mission in India.</t>
  </si>
  <si>
    <t>National Population Registry Letter</t>
  </si>
  <si>
    <t xml:space="preserve">Utility bill </t>
  </si>
  <si>
    <t>Certificate of Incorporation/Formation</t>
  </si>
  <si>
    <t>Memorandum and Articles of Association</t>
  </si>
  <si>
    <t xml:space="preserve">Registration certificate </t>
  </si>
  <si>
    <t>Partnership Deed</t>
  </si>
  <si>
    <t>Trust Deed</t>
  </si>
  <si>
    <t>Supporting Documents for PoI</t>
  </si>
  <si>
    <t>Others</t>
  </si>
  <si>
    <t>Filler-1</t>
  </si>
  <si>
    <t>Filler-2</t>
  </si>
  <si>
    <t>Filler-3</t>
  </si>
  <si>
    <t>Filler-4</t>
  </si>
  <si>
    <t>Filler-5</t>
  </si>
  <si>
    <t>Filler-6</t>
  </si>
  <si>
    <t>Filler-7</t>
  </si>
  <si>
    <t>Filler-8</t>
  </si>
  <si>
    <r>
      <rPr>
        <b/>
        <sz val="12"/>
        <color theme="1"/>
        <rFont val="Cambria"/>
        <family val="1"/>
      </rPr>
      <t xml:space="preserve">File Naming Convention </t>
    </r>
    <r>
      <rPr>
        <sz val="12"/>
        <color theme="1"/>
        <rFont val="Cambria"/>
        <family val="1"/>
      </rPr>
      <t>: File name will be same as Input file with suffix as ".ERR"</t>
    </r>
  </si>
  <si>
    <t>Sr. No.</t>
  </si>
  <si>
    <t>Field Type</t>
  </si>
  <si>
    <t>Line Number of Input File</t>
  </si>
  <si>
    <t>Line number of the Input file</t>
  </si>
  <si>
    <t>Field Name</t>
  </si>
  <si>
    <t>Field Name in which error occurred</t>
  </si>
  <si>
    <t>Field Value</t>
  </si>
  <si>
    <t>Value provided due to which error occurred</t>
  </si>
  <si>
    <t>Error Code</t>
  </si>
  <si>
    <t>Error Description</t>
  </si>
  <si>
    <t>ERR_SRC_001</t>
  </si>
  <si>
    <t>Record Type must be a 2-digit numeric value.</t>
  </si>
  <si>
    <t>ERR_SRC_002</t>
  </si>
  <si>
    <t>Invalid line number</t>
  </si>
  <si>
    <t>ERR_SRC_003</t>
  </si>
  <si>
    <t>Client Type must be a valid character (I/L).</t>
  </si>
  <si>
    <t>ERR_SRC_004</t>
  </si>
  <si>
    <t>Search Option must be a 1-digit numeric value (0–5).</t>
  </si>
  <si>
    <t>ERR_SRC_005</t>
  </si>
  <si>
    <t>ERR_SRC_006</t>
  </si>
  <si>
    <t>Identity Number cannot be blank and must be alphanumeric up to 40 characters.</t>
  </si>
  <si>
    <t>ERR_SRC_007</t>
  </si>
  <si>
    <t>First Name cannot be blank and must be within 150 characters.</t>
  </si>
  <si>
    <t>ERR_SRC_008</t>
  </si>
  <si>
    <t>Middle Name must be within 150 characters.</t>
  </si>
  <si>
    <t>ERR_SRC_009</t>
  </si>
  <si>
    <t>Last Name must be within 150 characters.</t>
  </si>
  <si>
    <t>ERR_SRC_010</t>
  </si>
  <si>
    <t>DOB must be a valid date in DD/MM/YYYY format.</t>
  </si>
  <si>
    <t>ERR_SRC_011</t>
  </si>
  <si>
    <t>Legal Entity Name must be provided for non-individual clients.</t>
  </si>
  <si>
    <t>ERR_SRC_012</t>
  </si>
  <si>
    <t>DOI must be a valid date in DD/MM/YYYY format.</t>
  </si>
  <si>
    <t>ERR_SRC_013</t>
  </si>
  <si>
    <t>Gender must be M/F/O and of length 1.</t>
  </si>
  <si>
    <t>ERR_SRC_014</t>
  </si>
  <si>
    <t>Photo Reference Number must be alphanumeric and ≤ 40 characters.</t>
  </si>
  <si>
    <t>ERR_SRC_015</t>
  </si>
  <si>
    <t>Relation must be provided if required and ≤ 50 characters.</t>
  </si>
  <si>
    <t>ERR_SRC_016</t>
  </si>
  <si>
    <t>ERR_SRC_017</t>
  </si>
  <si>
    <t>ERR_SRC_018</t>
  </si>
  <si>
    <t>ERR_SRC_019</t>
  </si>
  <si>
    <t>Mobile Number must be a valid 10-digit numeric value.</t>
  </si>
  <si>
    <t>ERR_SRC_020</t>
  </si>
  <si>
    <t>Verifiable Credential must be alphanumeric and ≤ 50 characters.</t>
  </si>
  <si>
    <t>ERR_SRC_021</t>
  </si>
  <si>
    <t>Constitution must be a valid 1-character code as per CKYC norms.</t>
  </si>
  <si>
    <t>ERR_SRC_022</t>
  </si>
  <si>
    <t>Record Level Hash cannot be blank and must be valid.</t>
  </si>
  <si>
    <t xml:space="preserve">Mandatory for Search option 5 and Client Type "I"
</t>
  </si>
  <si>
    <t xml:space="preserve">Mandatory for Search option 2 and Client Type "L"
A:	Sole Proprietorship
B:	Partnership Firm
C:	HUF
D:	Private Limited Company
E:	Public Limited Company
F:	Society
G:	Association of Persons (AOP)/ Body of Individuals (BOI)
H:	Trust
I:	Liquidator
J:	Limited Liability Partnership
K:	Artificial Liability Partnership
L:	Public Sector Banks
M:	Central/State Government Departments/Agency
N:	Section 8 (Companies Act, 2013)
O:	Artificial Juridical Person
P:	International Organisation or Agency/Foreign embasssy or consular office etc.
Q:	Foreign Portfolio Investors
R:	Others
</t>
  </si>
  <si>
    <t xml:space="preserve">Mandatory for Search option 2  and Client Type "I" 
</t>
  </si>
  <si>
    <t>Document ID will be display as per master</t>
  </si>
  <si>
    <t>Identity Type &amp; Number</t>
  </si>
  <si>
    <t>Mandatory if Search option selected is 2, Mandatory for search option 1 and Identity Type "E"
(Applicable  only for  Client Type "I")
‘M’ – Male, 
‘F’ – Female, 
'T'- Transgender</t>
  </si>
  <si>
    <t xml:space="preserve">Applicable for Search option 2 or 3  and client Type "I" ,Applicable for search option 1 and Identity Type "E"
</t>
  </si>
  <si>
    <t xml:space="preserve">Applicable  for Search option 2 or 3 and client Type "I" ,Applicable for search option 1 and Identity Type "E"
</t>
  </si>
  <si>
    <t>USERID_FICODE_DDMMYYYY_nnnnn.SRC</t>
  </si>
  <si>
    <t>UserID_FICODE_DDMMYYYY_nnnnn.SRC.RESm</t>
  </si>
  <si>
    <t xml:space="preserve">User Id </t>
  </si>
  <si>
    <t>User ID of Logged-in  User</t>
  </si>
  <si>
    <t>Branch and Regional users provides created Region code.</t>
  </si>
  <si>
    <t>Total number of records in File.</t>
  </si>
  <si>
    <t>Version Number of FVU.</t>
  </si>
  <si>
    <t xml:space="preserve">Mandatory for Search option 2 or 3 and client Type "I" ,Mandatory for search option 1 and Identity Type "E"
</t>
  </si>
  <si>
    <t xml:space="preserve">Mandatory for Search option 2, Mandatory for search option 1 and Identity Type "E"
(Applicable  only for  Client Type "I")
Date format: DD-MM-YYYY </t>
  </si>
  <si>
    <t>Mandatory for Search option 2 and client Type "L"</t>
  </si>
  <si>
    <t xml:space="preserve">Mandatory if Search option selected is 2 
(Applicable  only for  Client Type L)
Date format: DD-MM-YYYY </t>
  </si>
  <si>
    <t xml:space="preserve">Mandatory for Search option 3 and Client Type "I".
File name of the Photograph "P"+Line number of record type "20".
File type should be JPEG or JPG.
</t>
  </si>
  <si>
    <t xml:space="preserve">Mandatory for Search option 4 where client type is "I" and mandetory for search option 3 where clicnt type is "L"
</t>
  </si>
  <si>
    <t>Institute Registration Code as provided by CKYCRR</t>
  </si>
  <si>
    <t>Search Key to create new record</t>
  </si>
  <si>
    <t>20 character alphanumeric number
In case of duplicate records identified in that case same Search Key will be provided for all duplicate records identified for a particular record searched</t>
  </si>
  <si>
    <t xml:space="preserve">CIN </t>
  </si>
  <si>
    <t>(Applicable  only for  record type "I")
File name of the Photograph "P"+Line number of record type "20".
File type should be JPEG or JPG.</t>
  </si>
  <si>
    <t xml:space="preserve">Identity Type must be a valid character code </t>
  </si>
  <si>
    <t>Relation First Name must be within 33 characters.</t>
  </si>
  <si>
    <t>Relation Middle Name must be within 33 characters.</t>
  </si>
  <si>
    <t>Relation Last Name must be within 33 characters.</t>
  </si>
  <si>
    <t xml:space="preserve">Identity type and its respective identity number to be provided . Values should entered '^' separated. Multiple identity type can be selected from below types except for CKYC number.
A - Passport (Applicable only for Client Type "I")
B - Voter ID (Applicable only for Client Type "I")
C - PAN  (Applicable  for both Client Type "I" and "L")
D - Driving License (Applicable only for Client Type "I")
E - Aadhaar (Applicable only for Client Type "I")
F - NREGA Job Card (Applicable only for Client Type "I")
G- National Population Register Letter (Applicable only for Client Type "I")
Z- CKYC Number  (Applicable  for both Client Type "I" and "L")
H- GSTIN (Applicable only for Client Type "L")
I-Certificate of Incorporation (Applicable only for Client Type "L")
J -LLPN(Applicable only for Client Type "L")
Mandatory for Search option 1
If Identity type is E then only last four digits of Aadhaar number to be provided.
Example : C^DUZPK0123L^E^1234
</t>
  </si>
  <si>
    <t>Line Number of input record 20</t>
  </si>
  <si>
    <t>Search by OVD type</t>
  </si>
  <si>
    <t>Applicable for multiple OVD based search</t>
  </si>
  <si>
    <t>Deactivation Reason</t>
  </si>
  <si>
    <t>Applicable only in case of record is deactivated</t>
  </si>
  <si>
    <t>Remark</t>
  </si>
  <si>
    <t>Applicable only in case of record is deactivate or suspended or no record found.</t>
  </si>
  <si>
    <t>Ckyc Reference Number against seached record.
Following prefix will be added to 14 digit ckyc Reference number(Applicable only for Client Type "I")
Prefix Account type (No prefix for Normal Account)
S: Small Account
L: Simplified Measures Account
O: Aadhaar OTP based E-KYC (in non-face to face mode)
M: Minor Accounts</t>
  </si>
  <si>
    <t>Search by OVD Number</t>
  </si>
  <si>
    <r>
      <rPr>
        <b/>
        <sz val="12"/>
        <rFont val="Cambria"/>
        <family val="1"/>
      </rPr>
      <t xml:space="preserve">In case of Client Type: I
</t>
    </r>
    <r>
      <rPr>
        <sz val="12"/>
        <rFont val="Cambria"/>
        <family val="1"/>
      </rPr>
      <t xml:space="preserve">Option 1: OVD Number/ PAN/ CKYC number
Option 2: Combination of Name + Date of Birth + Gender +Relation (Father Name/Mother Name/Spouse Name)
Option 3: Name + Photo
Option 4: Mobile Number
Option 5: Verifiable Credentials
</t>
    </r>
    <r>
      <rPr>
        <b/>
        <sz val="12"/>
        <rFont val="Cambria"/>
        <family val="1"/>
      </rPr>
      <t xml:space="preserve">In case of Client Type : L
</t>
    </r>
    <r>
      <rPr>
        <sz val="12"/>
        <rFont val="Cambria"/>
        <family val="1"/>
      </rPr>
      <t xml:space="preserve">Option 1: PAN / GSTIN/ CIN/CKYC number/LLPIN
Option 2: Combination of Name + constitution + Date of Incorporation/ Formation
Option 3: Mobile Number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</si>
</sst>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12"/>
      <name val="Cambria"/>
      <family val="1"/>
    </font>
    <font>
      <sz val="12"/>
      <color rgb="FF000000"/>
      <name val="Cambria"/>
      <family val="1"/>
    </font>
    <font>
      <b/>
      <sz val="12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0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2" applyFont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wrapText="1"/>
    </xf>
    <xf numFmtId="0" fontId="4" fillId="0" borderId="2" xfId="1" applyFont="1" applyBorder="1" applyAlignment="1">
      <alignment horizontal="left" wrapText="1"/>
    </xf>
    <xf numFmtId="0" fontId="4" fillId="2" borderId="2" xfId="2" applyFont="1" applyFill="1" applyBorder="1" applyAlignment="1">
      <alignment horizontal="left" vertical="top" wrapText="1"/>
    </xf>
    <xf numFmtId="0" fontId="4" fillId="0" borderId="2" xfId="1" applyFont="1" applyBorder="1" applyAlignment="1">
      <alignment horizontal="left" vertical="top" wrapText="1"/>
    </xf>
    <xf numFmtId="0" fontId="4" fillId="0" borderId="2" xfId="2" applyFont="1" applyBorder="1" applyAlignment="1">
      <alignment horizontal="left" vertical="top" wrapText="1"/>
    </xf>
    <xf numFmtId="0" fontId="4" fillId="2" borderId="2" xfId="1" applyFont="1" applyFill="1" applyBorder="1" applyAlignment="1">
      <alignment horizontal="left" vertical="top" wrapText="1"/>
    </xf>
    <xf numFmtId="0" fontId="4" fillId="0" borderId="2" xfId="2" quotePrefix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21" fontId="4" fillId="0" borderId="2" xfId="2" applyNumberFormat="1" applyFont="1" applyBorder="1" applyAlignment="1">
      <alignment horizontal="left" vertical="top" wrapText="1"/>
    </xf>
    <xf numFmtId="0" fontId="4" fillId="3" borderId="2" xfId="2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wrapText="1"/>
    </xf>
    <xf numFmtId="0" fontId="4" fillId="0" borderId="2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 wrapText="1"/>
    </xf>
    <xf numFmtId="3" fontId="4" fillId="0" borderId="0" xfId="0" applyNumberFormat="1" applyFont="1" applyAlignment="1">
      <alignment horizontal="left"/>
    </xf>
    <xf numFmtId="0" fontId="4" fillId="3" borderId="2" xfId="0" applyFont="1" applyFill="1" applyBorder="1" applyAlignment="1">
      <alignment horizontal="left" vertical="top" wrapText="1"/>
    </xf>
    <xf numFmtId="3" fontId="4" fillId="3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2" xfId="0" quotePrefix="1" applyFont="1" applyBorder="1" applyAlignment="1">
      <alignment horizontal="left"/>
    </xf>
    <xf numFmtId="0" fontId="4" fillId="0" borderId="0" xfId="0" applyFont="1" applyAlignment="1">
      <alignment horizontal="left" wrapText="1"/>
    </xf>
    <xf numFmtId="14" fontId="4" fillId="0" borderId="0" xfId="0" applyNumberFormat="1" applyFont="1" applyAlignment="1">
      <alignment horizontal="left"/>
    </xf>
    <xf numFmtId="0" fontId="6" fillId="2" borderId="3" xfId="1" applyFont="1" applyFill="1" applyBorder="1" applyAlignment="1">
      <alignment horizontal="center" vertical="top" wrapText="1"/>
    </xf>
    <xf numFmtId="0" fontId="6" fillId="2" borderId="4" xfId="1" applyFont="1" applyFill="1" applyBorder="1" applyAlignment="1">
      <alignment horizontal="center" vertical="top" wrapText="1"/>
    </xf>
    <xf numFmtId="0" fontId="6" fillId="2" borderId="5" xfId="1" applyFont="1" applyFill="1" applyBorder="1" applyAlignment="1">
      <alignment horizontal="center" vertical="top" wrapText="1"/>
    </xf>
    <xf numFmtId="0" fontId="4" fillId="2" borderId="2" xfId="2" applyFont="1" applyFill="1" applyBorder="1" applyAlignment="1">
      <alignment horizontal="left" wrapText="1"/>
    </xf>
    <xf numFmtId="0" fontId="4" fillId="0" borderId="2" xfId="2" applyFont="1" applyBorder="1" applyAlignment="1">
      <alignment horizontal="left" wrapText="1"/>
    </xf>
    <xf numFmtId="0" fontId="6" fillId="2" borderId="2" xfId="0" applyFont="1" applyFill="1" applyBorder="1" applyAlignment="1">
      <alignment horizontal="center" vertical="top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top" wrapText="1"/>
    </xf>
  </cellXfs>
  <cellStyles count="3">
    <cellStyle name="Normal" xfId="0" builtinId="0"/>
    <cellStyle name="Normal 3" xfId="2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showGridLines="0" tabSelected="1" topLeftCell="B49" zoomScaleNormal="100" workbookViewId="0">
      <selection activeCell="F43" sqref="F43"/>
    </sheetView>
  </sheetViews>
  <sheetFormatPr defaultColWidth="9.109375" defaultRowHeight="15.75"/>
  <cols>
    <col min="1" max="1" width="10.77734375" style="25" bestFit="1" customWidth="1"/>
    <col min="2" max="2" width="39.77734375" style="25" bestFit="1" customWidth="1"/>
    <col min="3" max="3" width="8.77734375" style="25" bestFit="1" customWidth="1"/>
    <col min="4" max="4" width="5" style="25" bestFit="1" customWidth="1"/>
    <col min="5" max="5" width="5.6640625" style="25" bestFit="1" customWidth="1"/>
    <col min="6" max="6" width="86.88671875" style="25" bestFit="1" customWidth="1"/>
    <col min="7" max="8" width="9.109375" style="25"/>
    <col min="9" max="9" width="3" style="25" bestFit="1" customWidth="1"/>
    <col min="10" max="11" width="2" style="25" bestFit="1" customWidth="1"/>
    <col min="12" max="12" width="5" style="25" bestFit="1" customWidth="1"/>
    <col min="13" max="13" width="15.77734375" style="25" bestFit="1" customWidth="1"/>
    <col min="14" max="14" width="9.77734375" style="25" bestFit="1" customWidth="1"/>
    <col min="15" max="15" width="2.44140625" style="25" bestFit="1" customWidth="1"/>
    <col min="16" max="16384" width="9.109375" style="25"/>
  </cols>
  <sheetData>
    <row r="1" spans="1:6">
      <c r="A1" s="45" t="s">
        <v>0</v>
      </c>
      <c r="B1" s="45"/>
    </row>
    <row r="2" spans="1:6">
      <c r="A2" s="35" t="s">
        <v>1</v>
      </c>
      <c r="B2" s="35" t="s">
        <v>2</v>
      </c>
    </row>
    <row r="3" spans="1:6">
      <c r="A3" s="36" t="s">
        <v>3</v>
      </c>
      <c r="B3" s="36" t="s">
        <v>190</v>
      </c>
    </row>
    <row r="4" spans="1:6">
      <c r="A4" s="36" t="s">
        <v>192</v>
      </c>
      <c r="B4" s="36" t="s">
        <v>193</v>
      </c>
    </row>
    <row r="5" spans="1:6">
      <c r="A5" s="36" t="s">
        <v>4</v>
      </c>
      <c r="B5" s="36" t="s">
        <v>5</v>
      </c>
    </row>
    <row r="6" spans="1:6">
      <c r="A6" s="36" t="s">
        <v>6</v>
      </c>
      <c r="B6" s="37" t="s">
        <v>7</v>
      </c>
    </row>
    <row r="7" spans="1:6">
      <c r="A7" s="36" t="s">
        <v>8</v>
      </c>
      <c r="B7" s="37" t="s">
        <v>9</v>
      </c>
    </row>
    <row r="8" spans="1:6">
      <c r="A8" s="36" t="s">
        <v>10</v>
      </c>
      <c r="B8" s="37" t="s">
        <v>11</v>
      </c>
    </row>
    <row r="9" spans="1:6">
      <c r="C9" s="38"/>
    </row>
    <row r="10" spans="1:6">
      <c r="A10" s="12" t="s">
        <v>12</v>
      </c>
      <c r="B10" s="12" t="s">
        <v>13</v>
      </c>
      <c r="C10" s="43" t="s">
        <v>14</v>
      </c>
      <c r="D10" s="43"/>
      <c r="E10" s="43"/>
      <c r="F10" s="43"/>
    </row>
    <row r="11" spans="1:6">
      <c r="A11" s="13" t="s">
        <v>15</v>
      </c>
      <c r="B11" s="13" t="s">
        <v>16</v>
      </c>
      <c r="C11" s="44" t="s">
        <v>15</v>
      </c>
      <c r="D11" s="44"/>
      <c r="E11" s="44"/>
      <c r="F11" s="44"/>
    </row>
    <row r="12" spans="1:6">
      <c r="A12" s="13" t="s">
        <v>17</v>
      </c>
      <c r="B12" s="13" t="s">
        <v>18</v>
      </c>
      <c r="C12" s="44" t="s">
        <v>19</v>
      </c>
      <c r="D12" s="44"/>
      <c r="E12" s="44"/>
      <c r="F12" s="44"/>
    </row>
    <row r="13" spans="1:6">
      <c r="C13" s="38"/>
    </row>
    <row r="14" spans="1:6" ht="15.75" customHeight="1">
      <c r="A14" s="46" t="s">
        <v>20</v>
      </c>
      <c r="B14" s="47"/>
      <c r="C14" s="47"/>
      <c r="D14" s="47"/>
      <c r="E14" s="47"/>
      <c r="F14" s="48"/>
    </row>
    <row r="15" spans="1:6">
      <c r="A15" s="17" t="s">
        <v>21</v>
      </c>
      <c r="B15" s="17" t="s">
        <v>2</v>
      </c>
      <c r="C15" s="14" t="s">
        <v>22</v>
      </c>
      <c r="D15" s="14" t="s">
        <v>23</v>
      </c>
      <c r="E15" s="14" t="s">
        <v>24</v>
      </c>
      <c r="F15" s="14" t="s">
        <v>14</v>
      </c>
    </row>
    <row r="16" spans="1:6">
      <c r="A16" s="15">
        <v>1</v>
      </c>
      <c r="B16" s="15" t="s">
        <v>12</v>
      </c>
      <c r="C16" s="16" t="s">
        <v>25</v>
      </c>
      <c r="D16" s="16">
        <v>2</v>
      </c>
      <c r="E16" s="16" t="s">
        <v>26</v>
      </c>
      <c r="F16" s="16" t="s">
        <v>27</v>
      </c>
    </row>
    <row r="17" spans="1:15">
      <c r="A17" s="15">
        <f>A16+1</f>
        <v>2</v>
      </c>
      <c r="B17" s="15" t="s">
        <v>28</v>
      </c>
      <c r="C17" s="16" t="s">
        <v>29</v>
      </c>
      <c r="D17" s="16">
        <v>6</v>
      </c>
      <c r="E17" s="16" t="s">
        <v>26</v>
      </c>
      <c r="F17" s="16"/>
    </row>
    <row r="18" spans="1:15">
      <c r="A18" s="15">
        <f t="shared" ref="A18:A27" si="0">A17+1</f>
        <v>3</v>
      </c>
      <c r="B18" s="19" t="s">
        <v>30</v>
      </c>
      <c r="C18" s="19" t="s">
        <v>31</v>
      </c>
      <c r="D18" s="19">
        <v>11</v>
      </c>
      <c r="E18" s="19" t="s">
        <v>26</v>
      </c>
      <c r="F18" s="24" t="s">
        <v>194</v>
      </c>
    </row>
    <row r="19" spans="1:15">
      <c r="A19" s="15">
        <v>4</v>
      </c>
      <c r="B19" s="15" t="s">
        <v>32</v>
      </c>
      <c r="C19" s="16" t="s">
        <v>25</v>
      </c>
      <c r="D19" s="16">
        <v>8</v>
      </c>
      <c r="E19" s="16" t="s">
        <v>26</v>
      </c>
      <c r="F19" s="16" t="s">
        <v>195</v>
      </c>
    </row>
    <row r="20" spans="1:15">
      <c r="A20" s="15">
        <v>5</v>
      </c>
      <c r="B20" s="15" t="s">
        <v>33</v>
      </c>
      <c r="C20" s="16" t="s">
        <v>31</v>
      </c>
      <c r="D20" s="16">
        <v>6</v>
      </c>
      <c r="E20" s="16" t="s">
        <v>26</v>
      </c>
      <c r="F20" s="18" t="s">
        <v>196</v>
      </c>
    </row>
    <row r="21" spans="1:15">
      <c r="A21" s="15">
        <v>6</v>
      </c>
      <c r="B21" s="15" t="s">
        <v>34</v>
      </c>
      <c r="C21" s="16" t="s">
        <v>35</v>
      </c>
      <c r="D21" s="16">
        <v>10</v>
      </c>
      <c r="E21" s="16" t="s">
        <v>26</v>
      </c>
      <c r="F21" s="18" t="s">
        <v>36</v>
      </c>
    </row>
    <row r="22" spans="1:15">
      <c r="A22" s="15">
        <v>7</v>
      </c>
      <c r="B22" s="15" t="s">
        <v>37</v>
      </c>
      <c r="C22" s="16" t="s">
        <v>29</v>
      </c>
      <c r="D22" s="16">
        <v>50</v>
      </c>
      <c r="E22" s="16" t="s">
        <v>38</v>
      </c>
      <c r="F22" s="16"/>
    </row>
    <row r="23" spans="1:15">
      <c r="A23" s="15">
        <v>8</v>
      </c>
      <c r="B23" s="15" t="s">
        <v>39</v>
      </c>
      <c r="C23" s="16" t="s">
        <v>29</v>
      </c>
      <c r="D23" s="16">
        <v>50</v>
      </c>
      <c r="E23" s="16" t="s">
        <v>38</v>
      </c>
      <c r="F23" s="16"/>
    </row>
    <row r="24" spans="1:15">
      <c r="A24" s="15">
        <v>9</v>
      </c>
      <c r="B24" s="15" t="s">
        <v>40</v>
      </c>
      <c r="C24" s="16" t="s">
        <v>29</v>
      </c>
      <c r="D24" s="16">
        <v>50</v>
      </c>
      <c r="E24" s="16" t="s">
        <v>38</v>
      </c>
      <c r="F24" s="16"/>
    </row>
    <row r="25" spans="1:15">
      <c r="A25" s="15">
        <f t="shared" si="0"/>
        <v>10</v>
      </c>
      <c r="B25" s="15" t="s">
        <v>41</v>
      </c>
      <c r="C25" s="16" t="s">
        <v>31</v>
      </c>
      <c r="D25" s="16">
        <v>6</v>
      </c>
      <c r="E25" s="16" t="s">
        <v>26</v>
      </c>
      <c r="F25" s="16" t="s">
        <v>42</v>
      </c>
    </row>
    <row r="26" spans="1:15">
      <c r="A26" s="15">
        <f t="shared" si="0"/>
        <v>11</v>
      </c>
      <c r="B26" s="15" t="s">
        <v>43</v>
      </c>
      <c r="C26" s="16" t="s">
        <v>29</v>
      </c>
      <c r="D26" s="16"/>
      <c r="E26" s="16"/>
      <c r="F26" s="16" t="s">
        <v>44</v>
      </c>
    </row>
    <row r="27" spans="1:15">
      <c r="A27" s="15">
        <f t="shared" si="0"/>
        <v>12</v>
      </c>
      <c r="B27" s="15" t="s">
        <v>45</v>
      </c>
      <c r="C27" s="16" t="s">
        <v>29</v>
      </c>
      <c r="D27" s="16"/>
      <c r="E27" s="16"/>
      <c r="F27" s="16" t="s">
        <v>46</v>
      </c>
    </row>
    <row r="28" spans="1:15">
      <c r="C28" s="38"/>
    </row>
    <row r="29" spans="1:15">
      <c r="A29" s="40" t="s">
        <v>47</v>
      </c>
      <c r="B29" s="41"/>
      <c r="C29" s="41"/>
      <c r="D29" s="41"/>
      <c r="E29" s="41"/>
      <c r="F29" s="42"/>
    </row>
    <row r="30" spans="1:15">
      <c r="A30" s="27" t="s">
        <v>48</v>
      </c>
      <c r="B30" s="27" t="s">
        <v>2</v>
      </c>
      <c r="C30" s="14" t="s">
        <v>22</v>
      </c>
      <c r="D30" s="14" t="s">
        <v>23</v>
      </c>
      <c r="E30" s="27" t="s">
        <v>24</v>
      </c>
      <c r="F30" s="27" t="s">
        <v>14</v>
      </c>
    </row>
    <row r="31" spans="1:15">
      <c r="A31" s="19">
        <v>1</v>
      </c>
      <c r="B31" s="15" t="s">
        <v>12</v>
      </c>
      <c r="C31" s="16" t="s">
        <v>25</v>
      </c>
      <c r="D31" s="16">
        <v>2</v>
      </c>
      <c r="E31" s="16" t="s">
        <v>26</v>
      </c>
      <c r="F31" s="16" t="s">
        <v>49</v>
      </c>
    </row>
    <row r="32" spans="1:15">
      <c r="A32" s="19">
        <f>A31+1</f>
        <v>2</v>
      </c>
      <c r="B32" s="19" t="s">
        <v>50</v>
      </c>
      <c r="C32" s="16" t="s">
        <v>25</v>
      </c>
      <c r="D32" s="19">
        <v>8</v>
      </c>
      <c r="E32" s="19" t="s">
        <v>26</v>
      </c>
      <c r="F32" s="19" t="s">
        <v>51</v>
      </c>
      <c r="I32" s="25">
        <v>20</v>
      </c>
      <c r="J32" s="25">
        <v>1</v>
      </c>
      <c r="K32" s="25" t="s">
        <v>52</v>
      </c>
      <c r="L32" s="25">
        <v>1111</v>
      </c>
      <c r="M32" s="25" t="s">
        <v>53</v>
      </c>
      <c r="N32" s="39">
        <v>33208</v>
      </c>
      <c r="O32" s="25" t="s">
        <v>26</v>
      </c>
    </row>
    <row r="33" spans="1:14" ht="31.5">
      <c r="A33" s="15">
        <v>3</v>
      </c>
      <c r="B33" s="19" t="s">
        <v>54</v>
      </c>
      <c r="C33" s="19" t="s">
        <v>29</v>
      </c>
      <c r="D33" s="19">
        <v>1</v>
      </c>
      <c r="E33" s="19" t="s">
        <v>26</v>
      </c>
      <c r="F33" s="24" t="s">
        <v>55</v>
      </c>
    </row>
    <row r="34" spans="1:14" ht="186" customHeight="1">
      <c r="A34" s="19">
        <v>4</v>
      </c>
      <c r="B34" s="19" t="s">
        <v>56</v>
      </c>
      <c r="C34" s="16" t="s">
        <v>25</v>
      </c>
      <c r="D34" s="19">
        <v>1</v>
      </c>
      <c r="E34" s="19" t="s">
        <v>26</v>
      </c>
      <c r="F34" s="22" t="s">
        <v>222</v>
      </c>
      <c r="N34" s="39"/>
    </row>
    <row r="35" spans="1:14" ht="267.75">
      <c r="A35" s="19">
        <v>5</v>
      </c>
      <c r="B35" s="19" t="s">
        <v>186</v>
      </c>
      <c r="C35" s="19" t="s">
        <v>31</v>
      </c>
      <c r="D35" s="19">
        <v>2000</v>
      </c>
      <c r="E35" s="19" t="s">
        <v>57</v>
      </c>
      <c r="F35" s="24" t="s">
        <v>212</v>
      </c>
    </row>
    <row r="36" spans="1:14" ht="31.5">
      <c r="A36" s="19">
        <v>6</v>
      </c>
      <c r="B36" s="19" t="s">
        <v>58</v>
      </c>
      <c r="C36" s="19" t="s">
        <v>31</v>
      </c>
      <c r="D36" s="16">
        <v>33</v>
      </c>
      <c r="E36" s="16" t="s">
        <v>57</v>
      </c>
      <c r="F36" s="22" t="s">
        <v>197</v>
      </c>
    </row>
    <row r="37" spans="1:14" ht="31.5">
      <c r="A37" s="19">
        <v>7</v>
      </c>
      <c r="B37" s="19" t="s">
        <v>59</v>
      </c>
      <c r="C37" s="19" t="s">
        <v>31</v>
      </c>
      <c r="D37" s="16">
        <v>33</v>
      </c>
      <c r="E37" s="16" t="s">
        <v>38</v>
      </c>
      <c r="F37" s="22" t="s">
        <v>188</v>
      </c>
    </row>
    <row r="38" spans="1:14" ht="31.5">
      <c r="A38" s="19">
        <v>8</v>
      </c>
      <c r="B38" s="19" t="s">
        <v>60</v>
      </c>
      <c r="C38" s="19" t="s">
        <v>31</v>
      </c>
      <c r="D38" s="16">
        <v>33</v>
      </c>
      <c r="E38" s="16" t="s">
        <v>38</v>
      </c>
      <c r="F38" s="22" t="s">
        <v>189</v>
      </c>
    </row>
    <row r="39" spans="1:14" ht="47.25">
      <c r="A39" s="19">
        <v>9</v>
      </c>
      <c r="B39" s="19" t="s">
        <v>61</v>
      </c>
      <c r="C39" s="19" t="s">
        <v>62</v>
      </c>
      <c r="D39" s="15">
        <v>10</v>
      </c>
      <c r="E39" s="16" t="s">
        <v>57</v>
      </c>
      <c r="F39" s="22" t="s">
        <v>198</v>
      </c>
      <c r="G39" s="39"/>
    </row>
    <row r="40" spans="1:14">
      <c r="A40" s="19">
        <v>10</v>
      </c>
      <c r="B40" s="19" t="s">
        <v>63</v>
      </c>
      <c r="C40" s="19" t="s">
        <v>31</v>
      </c>
      <c r="D40" s="16">
        <v>99</v>
      </c>
      <c r="E40" s="16" t="s">
        <v>57</v>
      </c>
      <c r="F40" s="22" t="s">
        <v>199</v>
      </c>
      <c r="G40" s="39"/>
    </row>
    <row r="41" spans="1:14" ht="47.25">
      <c r="A41" s="19">
        <v>11</v>
      </c>
      <c r="B41" s="19" t="s">
        <v>64</v>
      </c>
      <c r="C41" s="19" t="s">
        <v>62</v>
      </c>
      <c r="D41" s="15">
        <v>10</v>
      </c>
      <c r="E41" s="16" t="s">
        <v>57</v>
      </c>
      <c r="F41" s="22" t="s">
        <v>200</v>
      </c>
      <c r="G41" s="39"/>
    </row>
    <row r="42" spans="1:14" ht="78.75">
      <c r="A42" s="19">
        <v>12</v>
      </c>
      <c r="B42" s="19" t="s">
        <v>65</v>
      </c>
      <c r="C42" s="19" t="s">
        <v>31</v>
      </c>
      <c r="D42" s="16">
        <v>1</v>
      </c>
      <c r="E42" s="16" t="s">
        <v>57</v>
      </c>
      <c r="F42" s="22" t="s">
        <v>187</v>
      </c>
    </row>
    <row r="43" spans="1:14" ht="53.25" customHeight="1">
      <c r="A43" s="19">
        <v>13</v>
      </c>
      <c r="B43" s="19" t="s">
        <v>66</v>
      </c>
      <c r="C43" s="19" t="s">
        <v>31</v>
      </c>
      <c r="D43" s="19">
        <v>40</v>
      </c>
      <c r="E43" s="19" t="s">
        <v>57</v>
      </c>
      <c r="F43" s="22" t="s">
        <v>201</v>
      </c>
    </row>
    <row r="44" spans="1:14" ht="31.5">
      <c r="A44" s="19">
        <v>14</v>
      </c>
      <c r="B44" s="19" t="s">
        <v>67</v>
      </c>
      <c r="C44" s="19" t="s">
        <v>31</v>
      </c>
      <c r="D44" s="19">
        <v>50</v>
      </c>
      <c r="E44" s="19" t="s">
        <v>26</v>
      </c>
      <c r="F44" s="30" t="s">
        <v>184</v>
      </c>
    </row>
    <row r="45" spans="1:14" ht="25.5" customHeight="1">
      <c r="A45" s="19">
        <v>15</v>
      </c>
      <c r="B45" s="19" t="s">
        <v>68</v>
      </c>
      <c r="C45" s="19" t="s">
        <v>31</v>
      </c>
      <c r="D45" s="16">
        <v>33</v>
      </c>
      <c r="E45" s="16" t="s">
        <v>57</v>
      </c>
      <c r="F45" s="22" t="s">
        <v>184</v>
      </c>
    </row>
    <row r="46" spans="1:14" ht="31.5">
      <c r="A46" s="19">
        <v>16</v>
      </c>
      <c r="B46" s="19" t="s">
        <v>69</v>
      </c>
      <c r="C46" s="19" t="s">
        <v>31</v>
      </c>
      <c r="D46" s="16">
        <v>33</v>
      </c>
      <c r="E46" s="16" t="s">
        <v>38</v>
      </c>
      <c r="F46" s="22" t="s">
        <v>184</v>
      </c>
    </row>
    <row r="47" spans="1:14" ht="31.5">
      <c r="A47" s="19">
        <v>17</v>
      </c>
      <c r="B47" s="19" t="s">
        <v>70</v>
      </c>
      <c r="C47" s="19" t="s">
        <v>31</v>
      </c>
      <c r="D47" s="16">
        <v>33</v>
      </c>
      <c r="E47" s="16" t="s">
        <v>38</v>
      </c>
      <c r="F47" s="22" t="s">
        <v>184</v>
      </c>
    </row>
    <row r="48" spans="1:14" ht="47.25">
      <c r="A48" s="19">
        <v>18</v>
      </c>
      <c r="B48" s="19" t="s">
        <v>71</v>
      </c>
      <c r="C48" s="19" t="s">
        <v>25</v>
      </c>
      <c r="D48" s="19">
        <v>10</v>
      </c>
      <c r="E48" s="19" t="s">
        <v>57</v>
      </c>
      <c r="F48" s="22" t="s">
        <v>202</v>
      </c>
    </row>
    <row r="49" spans="1:6" ht="31.5">
      <c r="A49" s="19">
        <v>19</v>
      </c>
      <c r="B49" s="19" t="s">
        <v>72</v>
      </c>
      <c r="C49" s="19" t="s">
        <v>31</v>
      </c>
      <c r="D49" s="19">
        <v>50</v>
      </c>
      <c r="E49" s="19" t="s">
        <v>57</v>
      </c>
      <c r="F49" s="22" t="s">
        <v>182</v>
      </c>
    </row>
    <row r="50" spans="1:6" ht="315">
      <c r="A50" s="19">
        <v>20</v>
      </c>
      <c r="B50" s="19" t="s">
        <v>73</v>
      </c>
      <c r="C50" s="19" t="s">
        <v>31</v>
      </c>
      <c r="D50" s="19">
        <v>1</v>
      </c>
      <c r="E50" s="19" t="s">
        <v>57</v>
      </c>
      <c r="F50" s="22" t="s">
        <v>183</v>
      </c>
    </row>
    <row r="51" spans="1:6">
      <c r="A51" s="19">
        <v>21</v>
      </c>
      <c r="B51" s="19" t="s">
        <v>74</v>
      </c>
      <c r="C51" s="19"/>
      <c r="D51" s="19"/>
      <c r="E51" s="19"/>
      <c r="F51" s="22" t="s">
        <v>75</v>
      </c>
    </row>
  </sheetData>
  <mergeCells count="6">
    <mergeCell ref="A29:F29"/>
    <mergeCell ref="C10:F10"/>
    <mergeCell ref="C11:F11"/>
    <mergeCell ref="C12:F12"/>
    <mergeCell ref="A1:B1"/>
    <mergeCell ref="A14:F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Views>
    <sheetView showGridLines="0" topLeftCell="A52" zoomScaleNormal="100" workbookViewId="0">
      <selection activeCell="B32" sqref="B32"/>
    </sheetView>
  </sheetViews>
  <sheetFormatPr defaultColWidth="9.109375" defaultRowHeight="15.75"/>
  <cols>
    <col min="1" max="1" width="11.77734375" style="2" bestFit="1" customWidth="1"/>
    <col min="2" max="2" width="48.6640625" style="34" customWidth="1"/>
    <col min="3" max="3" width="9.44140625" style="2" bestFit="1" customWidth="1"/>
    <col min="4" max="4" width="4.44140625" style="2" bestFit="1" customWidth="1"/>
    <col min="5" max="5" width="5.6640625" style="2" bestFit="1" customWidth="1"/>
    <col min="6" max="6" width="45.21875" style="2" customWidth="1"/>
    <col min="7" max="7" width="15.33203125" style="25" bestFit="1" customWidth="1"/>
    <col min="8" max="16384" width="9.109375" style="25"/>
  </cols>
  <sheetData>
    <row r="1" spans="1:6">
      <c r="A1" s="45" t="s">
        <v>0</v>
      </c>
      <c r="B1" s="45"/>
    </row>
    <row r="2" spans="1:6">
      <c r="A2" s="19" t="s">
        <v>3</v>
      </c>
      <c r="B2" s="22" t="s">
        <v>191</v>
      </c>
    </row>
    <row r="3" spans="1:6">
      <c r="A3" s="19" t="s">
        <v>192</v>
      </c>
      <c r="B3" s="22" t="s">
        <v>193</v>
      </c>
    </row>
    <row r="4" spans="1:6">
      <c r="A4" s="19" t="s">
        <v>4</v>
      </c>
      <c r="B4" s="22" t="s">
        <v>203</v>
      </c>
    </row>
    <row r="5" spans="1:6">
      <c r="A5" s="19" t="s">
        <v>6</v>
      </c>
      <c r="B5" s="24" t="s">
        <v>7</v>
      </c>
    </row>
    <row r="6" spans="1:6">
      <c r="A6" s="19" t="s">
        <v>8</v>
      </c>
      <c r="B6" s="24" t="s">
        <v>9</v>
      </c>
    </row>
    <row r="7" spans="1:6">
      <c r="A7" s="19" t="s">
        <v>10</v>
      </c>
      <c r="B7" s="24" t="s">
        <v>76</v>
      </c>
    </row>
    <row r="8" spans="1:6">
      <c r="A8" s="19" t="s">
        <v>77</v>
      </c>
      <c r="B8" s="24" t="s">
        <v>78</v>
      </c>
    </row>
    <row r="9" spans="1:6">
      <c r="A9" s="19" t="s">
        <v>79</v>
      </c>
      <c r="B9" s="24" t="s">
        <v>80</v>
      </c>
    </row>
    <row r="10" spans="1:6">
      <c r="B10" s="26"/>
    </row>
    <row r="11" spans="1:6">
      <c r="A11" s="49" t="s">
        <v>20</v>
      </c>
      <c r="B11" s="49"/>
      <c r="C11" s="49"/>
      <c r="D11" s="49"/>
      <c r="E11" s="49"/>
      <c r="F11" s="49"/>
    </row>
    <row r="12" spans="1:6">
      <c r="A12" s="17" t="s">
        <v>21</v>
      </c>
      <c r="B12" s="17" t="s">
        <v>2</v>
      </c>
      <c r="C12" s="14" t="s">
        <v>22</v>
      </c>
      <c r="D12" s="14" t="s">
        <v>23</v>
      </c>
      <c r="E12" s="14" t="s">
        <v>24</v>
      </c>
      <c r="F12" s="14" t="s">
        <v>14</v>
      </c>
    </row>
    <row r="13" spans="1:6">
      <c r="A13" s="15">
        <v>1</v>
      </c>
      <c r="B13" s="15" t="s">
        <v>12</v>
      </c>
      <c r="C13" s="16" t="s">
        <v>25</v>
      </c>
      <c r="D13" s="16">
        <v>2</v>
      </c>
      <c r="E13" s="16" t="s">
        <v>26</v>
      </c>
      <c r="F13" s="16" t="s">
        <v>27</v>
      </c>
    </row>
    <row r="14" spans="1:6">
      <c r="A14" s="15">
        <f>A13+1</f>
        <v>2</v>
      </c>
      <c r="B14" s="15" t="s">
        <v>28</v>
      </c>
      <c r="C14" s="16" t="s">
        <v>29</v>
      </c>
      <c r="D14" s="16">
        <v>6</v>
      </c>
      <c r="E14" s="16" t="s">
        <v>26</v>
      </c>
      <c r="F14" s="16"/>
    </row>
    <row r="15" spans="1:6">
      <c r="A15" s="15">
        <f t="shared" ref="A15" si="0">A14+1</f>
        <v>3</v>
      </c>
      <c r="B15" s="22" t="s">
        <v>30</v>
      </c>
      <c r="C15" s="19" t="s">
        <v>31</v>
      </c>
      <c r="D15" s="19">
        <v>11</v>
      </c>
      <c r="E15" s="19" t="s">
        <v>26</v>
      </c>
      <c r="F15" s="24" t="s">
        <v>81</v>
      </c>
    </row>
    <row r="16" spans="1:6">
      <c r="A16" s="15">
        <v>7</v>
      </c>
      <c r="B16" s="15" t="s">
        <v>82</v>
      </c>
      <c r="C16" s="16" t="s">
        <v>25</v>
      </c>
      <c r="D16" s="16">
        <v>5</v>
      </c>
      <c r="E16" s="16" t="s">
        <v>26</v>
      </c>
      <c r="F16" s="20"/>
    </row>
    <row r="17" spans="1:7">
      <c r="A17" s="15">
        <v>8</v>
      </c>
      <c r="B17" s="15" t="s">
        <v>83</v>
      </c>
      <c r="C17" s="16" t="s">
        <v>25</v>
      </c>
      <c r="D17" s="16">
        <v>5</v>
      </c>
      <c r="E17" s="16" t="s">
        <v>26</v>
      </c>
      <c r="F17" s="20"/>
    </row>
    <row r="18" spans="1:7">
      <c r="A18" s="15">
        <v>9</v>
      </c>
      <c r="B18" s="15" t="s">
        <v>84</v>
      </c>
      <c r="C18" s="16" t="s">
        <v>25</v>
      </c>
      <c r="D18" s="16">
        <v>5</v>
      </c>
      <c r="E18" s="16" t="s">
        <v>26</v>
      </c>
      <c r="F18" s="20"/>
    </row>
    <row r="19" spans="1:7">
      <c r="A19" s="15">
        <v>10</v>
      </c>
      <c r="B19" s="15" t="s">
        <v>85</v>
      </c>
      <c r="C19" s="16" t="s">
        <v>25</v>
      </c>
      <c r="D19" s="16">
        <v>5</v>
      </c>
      <c r="E19" s="16" t="s">
        <v>26</v>
      </c>
      <c r="F19" s="20"/>
    </row>
    <row r="20" spans="1:7">
      <c r="A20" s="15">
        <v>11</v>
      </c>
      <c r="B20" s="15" t="s">
        <v>86</v>
      </c>
      <c r="C20" s="16" t="s">
        <v>87</v>
      </c>
      <c r="D20" s="16">
        <v>20</v>
      </c>
      <c r="E20" s="16" t="s">
        <v>26</v>
      </c>
      <c r="F20" s="18" t="s">
        <v>36</v>
      </c>
    </row>
    <row r="21" spans="1:7">
      <c r="A21" s="15">
        <v>12</v>
      </c>
      <c r="B21" s="15" t="s">
        <v>88</v>
      </c>
      <c r="C21" s="16" t="s">
        <v>29</v>
      </c>
      <c r="D21" s="16">
        <v>50</v>
      </c>
      <c r="E21" s="16" t="s">
        <v>38</v>
      </c>
      <c r="F21" s="16"/>
    </row>
    <row r="22" spans="1:7">
      <c r="B22" s="26"/>
    </row>
    <row r="23" spans="1:7">
      <c r="A23" s="45" t="s">
        <v>47</v>
      </c>
      <c r="B23" s="45"/>
      <c r="C23" s="45"/>
      <c r="D23" s="45"/>
      <c r="E23" s="45"/>
      <c r="F23" s="45"/>
    </row>
    <row r="24" spans="1:7">
      <c r="A24" s="27" t="s">
        <v>48</v>
      </c>
      <c r="B24" s="28" t="s">
        <v>2</v>
      </c>
      <c r="C24" s="14" t="s">
        <v>22</v>
      </c>
      <c r="D24" s="14" t="s">
        <v>23</v>
      </c>
      <c r="E24" s="14" t="s">
        <v>24</v>
      </c>
      <c r="F24" s="27" t="s">
        <v>14</v>
      </c>
    </row>
    <row r="25" spans="1:7">
      <c r="A25" s="19">
        <v>1</v>
      </c>
      <c r="B25" s="15" t="s">
        <v>12</v>
      </c>
      <c r="C25" s="16" t="s">
        <v>25</v>
      </c>
      <c r="D25" s="16">
        <v>2</v>
      </c>
      <c r="E25" s="16" t="s">
        <v>26</v>
      </c>
      <c r="F25" s="16" t="s">
        <v>49</v>
      </c>
    </row>
    <row r="26" spans="1:7">
      <c r="A26" s="19">
        <f>SUM(A25+1)</f>
        <v>2</v>
      </c>
      <c r="B26" s="22" t="s">
        <v>50</v>
      </c>
      <c r="C26" s="16" t="s">
        <v>25</v>
      </c>
      <c r="D26" s="16">
        <v>8</v>
      </c>
      <c r="E26" s="16" t="s">
        <v>26</v>
      </c>
      <c r="F26" s="19" t="s">
        <v>51</v>
      </c>
      <c r="G26" s="29"/>
    </row>
    <row r="27" spans="1:7" ht="31.5">
      <c r="A27" s="19">
        <f t="shared" ref="A27:A71" si="1">SUM(A26+1)</f>
        <v>3</v>
      </c>
      <c r="B27" s="22" t="s">
        <v>54</v>
      </c>
      <c r="C27" s="16" t="s">
        <v>29</v>
      </c>
      <c r="D27" s="16">
        <v>1</v>
      </c>
      <c r="E27" s="16" t="s">
        <v>26</v>
      </c>
      <c r="F27" s="22" t="s">
        <v>89</v>
      </c>
      <c r="G27" s="29"/>
    </row>
    <row r="28" spans="1:7">
      <c r="A28" s="19">
        <f t="shared" si="1"/>
        <v>4</v>
      </c>
      <c r="B28" s="22" t="s">
        <v>213</v>
      </c>
      <c r="C28" s="16" t="s">
        <v>25</v>
      </c>
      <c r="D28" s="16">
        <v>8</v>
      </c>
      <c r="E28" s="16" t="s">
        <v>26</v>
      </c>
      <c r="F28" s="22"/>
      <c r="G28" s="29"/>
    </row>
    <row r="29" spans="1:7">
      <c r="A29" s="19">
        <f t="shared" si="1"/>
        <v>5</v>
      </c>
      <c r="B29" s="22" t="s">
        <v>214</v>
      </c>
      <c r="C29" s="16" t="s">
        <v>93</v>
      </c>
      <c r="D29" s="16">
        <v>1</v>
      </c>
      <c r="E29" s="16" t="s">
        <v>57</v>
      </c>
      <c r="F29" s="22" t="s">
        <v>215</v>
      </c>
      <c r="G29" s="29"/>
    </row>
    <row r="30" spans="1:7">
      <c r="A30" s="19">
        <f t="shared" si="1"/>
        <v>6</v>
      </c>
      <c r="B30" s="22" t="s">
        <v>221</v>
      </c>
      <c r="C30" s="16" t="s">
        <v>31</v>
      </c>
      <c r="D30" s="16">
        <v>15</v>
      </c>
      <c r="E30" s="16" t="s">
        <v>57</v>
      </c>
      <c r="F30" s="22" t="s">
        <v>215</v>
      </c>
      <c r="G30" s="29"/>
    </row>
    <row r="31" spans="1:7" ht="63">
      <c r="A31" s="19">
        <f t="shared" si="1"/>
        <v>7</v>
      </c>
      <c r="B31" s="22" t="s">
        <v>204</v>
      </c>
      <c r="C31" s="16" t="s">
        <v>31</v>
      </c>
      <c r="D31" s="16">
        <v>20</v>
      </c>
      <c r="E31" s="16" t="s">
        <v>26</v>
      </c>
      <c r="F31" s="22" t="s">
        <v>205</v>
      </c>
      <c r="G31" s="29"/>
    </row>
    <row r="32" spans="1:7" ht="126">
      <c r="A32" s="19">
        <f t="shared" si="1"/>
        <v>8</v>
      </c>
      <c r="B32" s="22" t="s">
        <v>90</v>
      </c>
      <c r="C32" s="16" t="s">
        <v>31</v>
      </c>
      <c r="D32" s="16">
        <v>15</v>
      </c>
      <c r="E32" s="16" t="s">
        <v>57</v>
      </c>
      <c r="F32" s="22" t="s">
        <v>220</v>
      </c>
      <c r="G32" s="29"/>
    </row>
    <row r="33" spans="1:7">
      <c r="A33" s="19">
        <f t="shared" si="1"/>
        <v>9</v>
      </c>
      <c r="B33" s="22" t="s">
        <v>58</v>
      </c>
      <c r="C33" s="16" t="s">
        <v>31</v>
      </c>
      <c r="D33" s="16">
        <v>33</v>
      </c>
      <c r="E33" s="16" t="s">
        <v>57</v>
      </c>
      <c r="F33" s="22" t="s">
        <v>91</v>
      </c>
      <c r="G33" s="29"/>
    </row>
    <row r="34" spans="1:7">
      <c r="A34" s="19">
        <f t="shared" si="1"/>
        <v>10</v>
      </c>
      <c r="B34" s="22" t="s">
        <v>59</v>
      </c>
      <c r="C34" s="16" t="s">
        <v>31</v>
      </c>
      <c r="D34" s="16">
        <v>33</v>
      </c>
      <c r="E34" s="16" t="s">
        <v>38</v>
      </c>
      <c r="F34" s="22" t="s">
        <v>92</v>
      </c>
      <c r="G34" s="29"/>
    </row>
    <row r="35" spans="1:7">
      <c r="A35" s="19">
        <f t="shared" si="1"/>
        <v>11</v>
      </c>
      <c r="B35" s="22" t="s">
        <v>60</v>
      </c>
      <c r="C35" s="16" t="s">
        <v>31</v>
      </c>
      <c r="D35" s="16">
        <v>33</v>
      </c>
      <c r="E35" s="16" t="s">
        <v>38</v>
      </c>
      <c r="F35" s="22" t="s">
        <v>92</v>
      </c>
      <c r="G35" s="29"/>
    </row>
    <row r="36" spans="1:7" s="32" customFormat="1" ht="63">
      <c r="A36" s="19">
        <f t="shared" si="1"/>
        <v>12</v>
      </c>
      <c r="B36" s="30" t="s">
        <v>65</v>
      </c>
      <c r="C36" s="21" t="s">
        <v>93</v>
      </c>
      <c r="D36" s="21">
        <v>1</v>
      </c>
      <c r="E36" s="21" t="s">
        <v>57</v>
      </c>
      <c r="F36" s="30" t="s">
        <v>94</v>
      </c>
      <c r="G36" s="31"/>
    </row>
    <row r="37" spans="1:7" ht="31.5">
      <c r="A37" s="19">
        <f t="shared" si="1"/>
        <v>13</v>
      </c>
      <c r="B37" s="22" t="s">
        <v>95</v>
      </c>
      <c r="C37" s="16" t="s">
        <v>31</v>
      </c>
      <c r="D37" s="16">
        <v>12</v>
      </c>
      <c r="E37" s="16" t="s">
        <v>38</v>
      </c>
      <c r="F37" s="22" t="s">
        <v>96</v>
      </c>
      <c r="G37" s="29"/>
    </row>
    <row r="38" spans="1:7" ht="31.5">
      <c r="A38" s="19">
        <f t="shared" si="1"/>
        <v>14</v>
      </c>
      <c r="B38" s="22" t="s">
        <v>97</v>
      </c>
      <c r="C38" s="16" t="s">
        <v>31</v>
      </c>
      <c r="D38" s="16">
        <v>99</v>
      </c>
      <c r="E38" s="16" t="s">
        <v>38</v>
      </c>
      <c r="F38" s="22" t="s">
        <v>98</v>
      </c>
      <c r="G38" s="29"/>
    </row>
    <row r="39" spans="1:7">
      <c r="A39" s="19">
        <f t="shared" si="1"/>
        <v>15</v>
      </c>
      <c r="B39" s="22" t="s">
        <v>99</v>
      </c>
      <c r="C39" s="16" t="s">
        <v>62</v>
      </c>
      <c r="D39" s="16">
        <v>10</v>
      </c>
      <c r="E39" s="16" t="s">
        <v>26</v>
      </c>
      <c r="F39" s="18" t="s">
        <v>36</v>
      </c>
      <c r="G39" s="29"/>
    </row>
    <row r="40" spans="1:7">
      <c r="A40" s="19">
        <f t="shared" si="1"/>
        <v>16</v>
      </c>
      <c r="B40" s="22" t="s">
        <v>100</v>
      </c>
      <c r="C40" s="19" t="s">
        <v>31</v>
      </c>
      <c r="D40" s="19">
        <v>40</v>
      </c>
      <c r="E40" s="19" t="s">
        <v>26</v>
      </c>
      <c r="F40" s="24" t="s">
        <v>206</v>
      </c>
      <c r="G40" s="29"/>
    </row>
    <row r="41" spans="1:7">
      <c r="A41" s="19">
        <f t="shared" si="1"/>
        <v>17</v>
      </c>
      <c r="B41" s="22" t="s">
        <v>101</v>
      </c>
      <c r="C41" s="16" t="s">
        <v>31</v>
      </c>
      <c r="D41" s="16">
        <v>150</v>
      </c>
      <c r="E41" s="16" t="s">
        <v>57</v>
      </c>
      <c r="F41" s="22" t="s">
        <v>102</v>
      </c>
      <c r="G41" s="29"/>
    </row>
    <row r="42" spans="1:7" ht="63">
      <c r="A42" s="19">
        <f t="shared" si="1"/>
        <v>18</v>
      </c>
      <c r="B42" s="22" t="s">
        <v>103</v>
      </c>
      <c r="C42" s="16" t="s">
        <v>31</v>
      </c>
      <c r="D42" s="16">
        <v>20</v>
      </c>
      <c r="E42" s="16" t="s">
        <v>57</v>
      </c>
      <c r="F42" s="22" t="s">
        <v>207</v>
      </c>
      <c r="G42" s="29"/>
    </row>
    <row r="43" spans="1:7">
      <c r="A43" s="19">
        <f t="shared" si="1"/>
        <v>19</v>
      </c>
      <c r="B43" s="22" t="s">
        <v>104</v>
      </c>
      <c r="C43" s="16" t="s">
        <v>62</v>
      </c>
      <c r="D43" s="16">
        <v>12</v>
      </c>
      <c r="E43" s="16" t="s">
        <v>57</v>
      </c>
      <c r="F43" s="22" t="s">
        <v>102</v>
      </c>
      <c r="G43" s="29"/>
    </row>
    <row r="44" spans="1:7">
      <c r="A44" s="19">
        <v>20</v>
      </c>
      <c r="B44" s="22" t="s">
        <v>216</v>
      </c>
      <c r="C44" s="16" t="s">
        <v>31</v>
      </c>
      <c r="D44" s="16">
        <v>100</v>
      </c>
      <c r="E44" s="16" t="s">
        <v>57</v>
      </c>
      <c r="F44" s="22" t="s">
        <v>217</v>
      </c>
      <c r="G44" s="29"/>
    </row>
    <row r="45" spans="1:7" ht="31.5">
      <c r="A45" s="19">
        <v>21</v>
      </c>
      <c r="B45" s="22" t="s">
        <v>218</v>
      </c>
      <c r="C45" s="16" t="s">
        <v>31</v>
      </c>
      <c r="D45" s="16">
        <v>250</v>
      </c>
      <c r="E45" s="16" t="s">
        <v>57</v>
      </c>
      <c r="F45" s="22" t="s">
        <v>219</v>
      </c>
      <c r="G45" s="29"/>
    </row>
    <row r="46" spans="1:7">
      <c r="A46" s="19">
        <f>SUM(A43+1)</f>
        <v>20</v>
      </c>
      <c r="B46" s="23" t="s">
        <v>105</v>
      </c>
      <c r="C46" s="16" t="s">
        <v>29</v>
      </c>
      <c r="D46" s="16">
        <v>1</v>
      </c>
      <c r="E46" s="16" t="s">
        <v>26</v>
      </c>
      <c r="F46" s="22" t="s">
        <v>185</v>
      </c>
      <c r="G46" s="29"/>
    </row>
    <row r="47" spans="1:7">
      <c r="A47" s="19">
        <f t="shared" si="1"/>
        <v>21</v>
      </c>
      <c r="B47" s="23" t="s">
        <v>106</v>
      </c>
      <c r="C47" s="16" t="s">
        <v>29</v>
      </c>
      <c r="D47" s="16">
        <v>1</v>
      </c>
      <c r="E47" s="16" t="s">
        <v>26</v>
      </c>
      <c r="F47" s="22" t="s">
        <v>185</v>
      </c>
      <c r="G47" s="29"/>
    </row>
    <row r="48" spans="1:7">
      <c r="A48" s="19">
        <f t="shared" si="1"/>
        <v>22</v>
      </c>
      <c r="B48" s="23" t="s">
        <v>107</v>
      </c>
      <c r="C48" s="16" t="s">
        <v>29</v>
      </c>
      <c r="D48" s="16">
        <v>1</v>
      </c>
      <c r="E48" s="16" t="s">
        <v>26</v>
      </c>
      <c r="F48" s="22" t="s">
        <v>185</v>
      </c>
      <c r="G48" s="29"/>
    </row>
    <row r="49" spans="1:7">
      <c r="A49" s="19">
        <f t="shared" si="1"/>
        <v>23</v>
      </c>
      <c r="B49" s="23" t="s">
        <v>108</v>
      </c>
      <c r="C49" s="16" t="s">
        <v>29</v>
      </c>
      <c r="D49" s="16">
        <v>1</v>
      </c>
      <c r="E49" s="16" t="s">
        <v>26</v>
      </c>
      <c r="F49" s="22" t="s">
        <v>185</v>
      </c>
      <c r="G49" s="29"/>
    </row>
    <row r="50" spans="1:7">
      <c r="A50" s="19">
        <f t="shared" si="1"/>
        <v>24</v>
      </c>
      <c r="B50" s="23" t="s">
        <v>109</v>
      </c>
      <c r="C50" s="16" t="s">
        <v>29</v>
      </c>
      <c r="D50" s="16">
        <v>1</v>
      </c>
      <c r="E50" s="16" t="s">
        <v>26</v>
      </c>
      <c r="F50" s="22" t="s">
        <v>185</v>
      </c>
      <c r="G50" s="29"/>
    </row>
    <row r="51" spans="1:7">
      <c r="A51" s="19">
        <f t="shared" si="1"/>
        <v>25</v>
      </c>
      <c r="B51" s="23" t="s">
        <v>110</v>
      </c>
      <c r="C51" s="16" t="s">
        <v>29</v>
      </c>
      <c r="D51" s="16">
        <v>1</v>
      </c>
      <c r="E51" s="16" t="s">
        <v>26</v>
      </c>
      <c r="F51" s="22" t="s">
        <v>185</v>
      </c>
      <c r="G51" s="29"/>
    </row>
    <row r="52" spans="1:7">
      <c r="A52" s="19">
        <f t="shared" si="1"/>
        <v>26</v>
      </c>
      <c r="B52" s="23" t="s">
        <v>111</v>
      </c>
      <c r="C52" s="16" t="s">
        <v>29</v>
      </c>
      <c r="D52" s="16">
        <v>1</v>
      </c>
      <c r="E52" s="16" t="s">
        <v>26</v>
      </c>
      <c r="F52" s="22" t="s">
        <v>185</v>
      </c>
      <c r="G52" s="29"/>
    </row>
    <row r="53" spans="1:7">
      <c r="A53" s="19">
        <f t="shared" si="1"/>
        <v>27</v>
      </c>
      <c r="B53" s="23" t="s">
        <v>112</v>
      </c>
      <c r="C53" s="16" t="s">
        <v>29</v>
      </c>
      <c r="D53" s="16">
        <v>1</v>
      </c>
      <c r="E53" s="16" t="s">
        <v>26</v>
      </c>
      <c r="F53" s="22" t="s">
        <v>185</v>
      </c>
      <c r="G53" s="29"/>
    </row>
    <row r="54" spans="1:7" ht="47.25">
      <c r="A54" s="19">
        <f t="shared" si="1"/>
        <v>28</v>
      </c>
      <c r="B54" s="23" t="s">
        <v>113</v>
      </c>
      <c r="C54" s="16" t="s">
        <v>29</v>
      </c>
      <c r="D54" s="16">
        <v>1</v>
      </c>
      <c r="E54" s="16" t="s">
        <v>26</v>
      </c>
      <c r="F54" s="22" t="s">
        <v>185</v>
      </c>
      <c r="G54" s="29"/>
    </row>
    <row r="55" spans="1:7">
      <c r="A55" s="19">
        <f t="shared" si="1"/>
        <v>29</v>
      </c>
      <c r="B55" s="23" t="s">
        <v>114</v>
      </c>
      <c r="C55" s="16" t="s">
        <v>29</v>
      </c>
      <c r="D55" s="16">
        <v>1</v>
      </c>
      <c r="E55" s="16" t="s">
        <v>26</v>
      </c>
      <c r="F55" s="22" t="s">
        <v>185</v>
      </c>
      <c r="G55" s="29"/>
    </row>
    <row r="56" spans="1:7">
      <c r="A56" s="19">
        <f t="shared" si="1"/>
        <v>30</v>
      </c>
      <c r="B56" s="22" t="s">
        <v>115</v>
      </c>
      <c r="C56" s="16" t="s">
        <v>29</v>
      </c>
      <c r="D56" s="16">
        <v>1</v>
      </c>
      <c r="E56" s="16" t="s">
        <v>26</v>
      </c>
      <c r="F56" s="22" t="s">
        <v>185</v>
      </c>
      <c r="G56" s="29"/>
    </row>
    <row r="57" spans="1:7">
      <c r="A57" s="19">
        <f t="shared" si="1"/>
        <v>31</v>
      </c>
      <c r="B57" s="23" t="s">
        <v>116</v>
      </c>
      <c r="C57" s="16" t="s">
        <v>29</v>
      </c>
      <c r="D57" s="16">
        <v>1</v>
      </c>
      <c r="E57" s="16" t="s">
        <v>26</v>
      </c>
      <c r="F57" s="22" t="s">
        <v>185</v>
      </c>
      <c r="G57" s="29"/>
    </row>
    <row r="58" spans="1:7">
      <c r="A58" s="19">
        <f t="shared" si="1"/>
        <v>32</v>
      </c>
      <c r="B58" s="23" t="s">
        <v>117</v>
      </c>
      <c r="C58" s="16" t="s">
        <v>29</v>
      </c>
      <c r="D58" s="16">
        <v>1</v>
      </c>
      <c r="E58" s="16" t="s">
        <v>26</v>
      </c>
      <c r="F58" s="22" t="s">
        <v>185</v>
      </c>
      <c r="G58" s="29"/>
    </row>
    <row r="59" spans="1:7">
      <c r="A59" s="19">
        <f t="shared" si="1"/>
        <v>33</v>
      </c>
      <c r="B59" s="33" t="s">
        <v>118</v>
      </c>
      <c r="C59" s="16" t="s">
        <v>29</v>
      </c>
      <c r="D59" s="16">
        <v>1</v>
      </c>
      <c r="E59" s="16" t="s">
        <v>26</v>
      </c>
      <c r="F59" s="22" t="s">
        <v>185</v>
      </c>
      <c r="G59" s="29"/>
    </row>
    <row r="60" spans="1:7">
      <c r="A60" s="19">
        <f t="shared" si="1"/>
        <v>34</v>
      </c>
      <c r="B60" s="23" t="s">
        <v>119</v>
      </c>
      <c r="C60" s="16" t="s">
        <v>29</v>
      </c>
      <c r="D60" s="16">
        <v>1</v>
      </c>
      <c r="E60" s="16" t="s">
        <v>26</v>
      </c>
      <c r="F60" s="22" t="s">
        <v>185</v>
      </c>
      <c r="G60" s="29"/>
    </row>
    <row r="61" spans="1:7">
      <c r="A61" s="19">
        <f t="shared" si="1"/>
        <v>35</v>
      </c>
      <c r="B61" s="33" t="s">
        <v>120</v>
      </c>
      <c r="C61" s="16" t="s">
        <v>29</v>
      </c>
      <c r="D61" s="16">
        <v>1</v>
      </c>
      <c r="E61" s="16" t="s">
        <v>26</v>
      </c>
      <c r="F61" s="22" t="s">
        <v>185</v>
      </c>
      <c r="G61" s="29"/>
    </row>
    <row r="62" spans="1:7">
      <c r="A62" s="19">
        <f t="shared" si="1"/>
        <v>36</v>
      </c>
      <c r="B62" s="23" t="s">
        <v>121</v>
      </c>
      <c r="C62" s="16" t="s">
        <v>29</v>
      </c>
      <c r="D62" s="16">
        <v>1</v>
      </c>
      <c r="E62" s="16" t="s">
        <v>26</v>
      </c>
      <c r="F62" s="22" t="s">
        <v>185</v>
      </c>
      <c r="G62" s="29"/>
    </row>
    <row r="63" spans="1:7">
      <c r="A63" s="19">
        <f t="shared" si="1"/>
        <v>37</v>
      </c>
      <c r="B63" s="23" t="s">
        <v>122</v>
      </c>
      <c r="C63" s="16" t="s">
        <v>29</v>
      </c>
      <c r="D63" s="16">
        <v>1</v>
      </c>
      <c r="E63" s="16" t="s">
        <v>26</v>
      </c>
      <c r="F63" s="22" t="s">
        <v>185</v>
      </c>
      <c r="G63" s="29"/>
    </row>
    <row r="64" spans="1:7">
      <c r="A64" s="19">
        <f t="shared" si="1"/>
        <v>38</v>
      </c>
      <c r="B64" s="22" t="s">
        <v>123</v>
      </c>
      <c r="C64" s="16" t="s">
        <v>29</v>
      </c>
      <c r="D64" s="16">
        <v>1</v>
      </c>
      <c r="E64" s="16" t="s">
        <v>26</v>
      </c>
      <c r="F64" s="22"/>
      <c r="G64" s="29"/>
    </row>
    <row r="65" spans="1:7">
      <c r="A65" s="19">
        <f t="shared" si="1"/>
        <v>39</v>
      </c>
      <c r="B65" s="22" t="s">
        <v>124</v>
      </c>
      <c r="C65" s="16" t="s">
        <v>29</v>
      </c>
      <c r="D65" s="16">
        <v>1</v>
      </c>
      <c r="E65" s="16" t="s">
        <v>26</v>
      </c>
      <c r="F65" s="22"/>
      <c r="G65" s="29"/>
    </row>
    <row r="66" spans="1:7">
      <c r="A66" s="19">
        <f t="shared" si="1"/>
        <v>40</v>
      </c>
      <c r="B66" s="22" t="s">
        <v>125</v>
      </c>
      <c r="C66" s="16" t="s">
        <v>29</v>
      </c>
      <c r="D66" s="16">
        <v>1</v>
      </c>
      <c r="E66" s="16" t="s">
        <v>26</v>
      </c>
      <c r="F66" s="22"/>
      <c r="G66" s="29"/>
    </row>
    <row r="67" spans="1:7">
      <c r="A67" s="19">
        <f t="shared" si="1"/>
        <v>41</v>
      </c>
      <c r="B67" s="22" t="s">
        <v>126</v>
      </c>
      <c r="C67" s="16" t="s">
        <v>29</v>
      </c>
      <c r="D67" s="16">
        <v>1</v>
      </c>
      <c r="E67" s="16" t="s">
        <v>26</v>
      </c>
      <c r="F67" s="22"/>
      <c r="G67" s="29"/>
    </row>
    <row r="68" spans="1:7">
      <c r="A68" s="19">
        <f t="shared" si="1"/>
        <v>42</v>
      </c>
      <c r="B68" s="22" t="s">
        <v>127</v>
      </c>
      <c r="C68" s="16" t="s">
        <v>29</v>
      </c>
      <c r="D68" s="16">
        <v>1</v>
      </c>
      <c r="E68" s="16" t="s">
        <v>26</v>
      </c>
      <c r="F68" s="22"/>
      <c r="G68" s="29"/>
    </row>
    <row r="69" spans="1:7">
      <c r="A69" s="19">
        <f t="shared" si="1"/>
        <v>43</v>
      </c>
      <c r="B69" s="22" t="s">
        <v>128</v>
      </c>
      <c r="C69" s="16" t="s">
        <v>29</v>
      </c>
      <c r="D69" s="16">
        <v>1</v>
      </c>
      <c r="E69" s="16" t="s">
        <v>26</v>
      </c>
      <c r="F69" s="22"/>
      <c r="G69" s="29"/>
    </row>
    <row r="70" spans="1:7">
      <c r="A70" s="19">
        <f t="shared" si="1"/>
        <v>44</v>
      </c>
      <c r="B70" s="22" t="s">
        <v>129</v>
      </c>
      <c r="C70" s="16" t="s">
        <v>29</v>
      </c>
      <c r="D70" s="16">
        <v>1</v>
      </c>
      <c r="E70" s="16" t="s">
        <v>26</v>
      </c>
      <c r="F70" s="22"/>
      <c r="G70" s="29"/>
    </row>
    <row r="71" spans="1:7">
      <c r="A71" s="19">
        <f t="shared" si="1"/>
        <v>45</v>
      </c>
      <c r="B71" s="22" t="s">
        <v>130</v>
      </c>
      <c r="C71" s="16" t="s">
        <v>29</v>
      </c>
      <c r="D71" s="16">
        <v>1</v>
      </c>
      <c r="E71" s="16" t="s">
        <v>26</v>
      </c>
      <c r="F71" s="22"/>
      <c r="G71" s="29"/>
    </row>
    <row r="79" spans="1:7">
      <c r="A79" s="25"/>
    </row>
  </sheetData>
  <mergeCells count="3">
    <mergeCell ref="A1:B1"/>
    <mergeCell ref="A11:F11"/>
    <mergeCell ref="A23:F2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showGridLines="0" workbookViewId="0">
      <selection activeCell="E4" sqref="E4"/>
    </sheetView>
  </sheetViews>
  <sheetFormatPr defaultColWidth="8.88671875" defaultRowHeight="15"/>
  <cols>
    <col min="1" max="1" width="6" style="8" bestFit="1" customWidth="1"/>
    <col min="2" max="2" width="21.6640625" style="8" customWidth="1"/>
    <col min="3" max="3" width="8.77734375" style="8" bestFit="1" customWidth="1"/>
    <col min="4" max="4" width="4" style="8" bestFit="1" customWidth="1"/>
    <col min="5" max="5" width="35.88671875" style="8" bestFit="1" customWidth="1"/>
    <col min="6" max="16384" width="8.88671875" style="8"/>
  </cols>
  <sheetData>
    <row r="1" spans="1:5" ht="15.75">
      <c r="A1" s="6"/>
      <c r="B1" s="7" t="s">
        <v>131</v>
      </c>
    </row>
    <row r="3" spans="1:5" ht="15.75">
      <c r="A3" s="9" t="s">
        <v>132</v>
      </c>
      <c r="B3" s="9" t="s">
        <v>133</v>
      </c>
      <c r="C3" s="9" t="s">
        <v>22</v>
      </c>
      <c r="D3" s="9" t="s">
        <v>23</v>
      </c>
      <c r="E3" s="9" t="s">
        <v>14</v>
      </c>
    </row>
    <row r="4" spans="1:5" ht="15.75">
      <c r="A4" s="10">
        <v>1</v>
      </c>
      <c r="B4" s="10" t="s">
        <v>132</v>
      </c>
      <c r="C4" s="11" t="s">
        <v>25</v>
      </c>
      <c r="D4" s="11">
        <v>8</v>
      </c>
      <c r="E4" s="10" t="s">
        <v>51</v>
      </c>
    </row>
    <row r="5" spans="1:5" ht="15.75">
      <c r="A5" s="10">
        <v>2</v>
      </c>
      <c r="B5" s="10" t="s">
        <v>134</v>
      </c>
      <c r="C5" s="11" t="s">
        <v>25</v>
      </c>
      <c r="D5" s="11">
        <v>8</v>
      </c>
      <c r="E5" s="10" t="s">
        <v>135</v>
      </c>
    </row>
    <row r="6" spans="1:5" ht="15.75">
      <c r="A6" s="10">
        <v>3</v>
      </c>
      <c r="B6" s="10" t="s">
        <v>136</v>
      </c>
      <c r="C6" s="10" t="s">
        <v>31</v>
      </c>
      <c r="D6" s="10">
        <v>250</v>
      </c>
      <c r="E6" s="10" t="s">
        <v>137</v>
      </c>
    </row>
    <row r="7" spans="1:5" ht="15.75">
      <c r="A7" s="10">
        <v>4</v>
      </c>
      <c r="B7" s="10" t="s">
        <v>138</v>
      </c>
      <c r="C7" s="10" t="s">
        <v>31</v>
      </c>
      <c r="D7" s="10">
        <v>250</v>
      </c>
      <c r="E7" s="10" t="s">
        <v>139</v>
      </c>
    </row>
    <row r="8" spans="1:5" ht="15.75">
      <c r="A8" s="10">
        <v>5</v>
      </c>
      <c r="B8" s="10" t="s">
        <v>140</v>
      </c>
      <c r="C8" s="10" t="s">
        <v>31</v>
      </c>
      <c r="D8" s="10">
        <v>10</v>
      </c>
      <c r="E8" s="10" t="s">
        <v>140</v>
      </c>
    </row>
    <row r="9" spans="1:5" ht="15.75">
      <c r="A9" s="10">
        <v>6</v>
      </c>
      <c r="B9" s="10" t="s">
        <v>141</v>
      </c>
      <c r="C9" s="10" t="s">
        <v>31</v>
      </c>
      <c r="D9" s="10">
        <v>250</v>
      </c>
      <c r="E9" s="10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showGridLines="0" workbookViewId="0">
      <selection activeCell="E21" sqref="E21"/>
    </sheetView>
  </sheetViews>
  <sheetFormatPr defaultColWidth="16.88671875" defaultRowHeight="15"/>
  <cols>
    <col min="1" max="1" width="5.77734375" style="4" bestFit="1" customWidth="1"/>
    <col min="2" max="2" width="11.44140625" style="4" bestFit="1" customWidth="1"/>
    <col min="3" max="3" width="34" style="4" bestFit="1" customWidth="1"/>
    <col min="4" max="16384" width="16.88671875" style="4"/>
  </cols>
  <sheetData>
    <row r="1" spans="1:3" ht="15.75">
      <c r="A1" s="3" t="s">
        <v>48</v>
      </c>
      <c r="B1" s="3" t="s">
        <v>140</v>
      </c>
      <c r="C1" s="3" t="s">
        <v>141</v>
      </c>
    </row>
    <row r="2" spans="1:3" ht="31.5">
      <c r="A2" s="1">
        <v>1</v>
      </c>
      <c r="B2" s="5" t="s">
        <v>142</v>
      </c>
      <c r="C2" s="1" t="s">
        <v>143</v>
      </c>
    </row>
    <row r="3" spans="1:3" ht="31.5">
      <c r="A3" s="1">
        <v>2</v>
      </c>
      <c r="B3" s="5" t="s">
        <v>144</v>
      </c>
      <c r="C3" s="1" t="s">
        <v>145</v>
      </c>
    </row>
    <row r="4" spans="1:3" ht="31.5">
      <c r="A4" s="1">
        <v>3</v>
      </c>
      <c r="B4" s="5" t="s">
        <v>146</v>
      </c>
      <c r="C4" s="1" t="s">
        <v>147</v>
      </c>
    </row>
    <row r="5" spans="1:3" ht="31.5">
      <c r="A5" s="1">
        <v>4</v>
      </c>
      <c r="B5" s="5" t="s">
        <v>148</v>
      </c>
      <c r="C5" s="1" t="s">
        <v>149</v>
      </c>
    </row>
    <row r="6" spans="1:3" ht="31.5">
      <c r="A6" s="1">
        <v>5</v>
      </c>
      <c r="B6" s="5" t="s">
        <v>150</v>
      </c>
      <c r="C6" s="1" t="s">
        <v>208</v>
      </c>
    </row>
    <row r="7" spans="1:3" ht="47.25">
      <c r="A7" s="1">
        <v>6</v>
      </c>
      <c r="B7" s="5" t="s">
        <v>151</v>
      </c>
      <c r="C7" s="1" t="s">
        <v>152</v>
      </c>
    </row>
    <row r="8" spans="1:3" ht="31.5">
      <c r="A8" s="1">
        <v>7</v>
      </c>
      <c r="B8" s="5" t="s">
        <v>153</v>
      </c>
      <c r="C8" s="1" t="s">
        <v>154</v>
      </c>
    </row>
    <row r="9" spans="1:3" ht="31.5">
      <c r="A9" s="1">
        <v>8</v>
      </c>
      <c r="B9" s="5" t="s">
        <v>155</v>
      </c>
      <c r="C9" s="1" t="s">
        <v>156</v>
      </c>
    </row>
    <row r="10" spans="1:3" ht="31.5">
      <c r="A10" s="1">
        <v>9</v>
      </c>
      <c r="B10" s="5" t="s">
        <v>157</v>
      </c>
      <c r="C10" s="1" t="s">
        <v>158</v>
      </c>
    </row>
    <row r="11" spans="1:3" ht="31.5">
      <c r="A11" s="1">
        <v>10</v>
      </c>
      <c r="B11" s="5" t="s">
        <v>159</v>
      </c>
      <c r="C11" s="1" t="s">
        <v>160</v>
      </c>
    </row>
    <row r="12" spans="1:3" ht="31.5">
      <c r="A12" s="1">
        <v>11</v>
      </c>
      <c r="B12" s="5" t="s">
        <v>161</v>
      </c>
      <c r="C12" s="1" t="s">
        <v>162</v>
      </c>
    </row>
    <row r="13" spans="1:3" ht="31.5">
      <c r="A13" s="1">
        <v>12</v>
      </c>
      <c r="B13" s="5" t="s">
        <v>163</v>
      </c>
      <c r="C13" s="1" t="s">
        <v>164</v>
      </c>
    </row>
    <row r="14" spans="1:3" ht="31.5">
      <c r="A14" s="1">
        <v>13</v>
      </c>
      <c r="B14" s="5" t="s">
        <v>165</v>
      </c>
      <c r="C14" s="1" t="s">
        <v>166</v>
      </c>
    </row>
    <row r="15" spans="1:3" ht="31.5">
      <c r="A15" s="1">
        <v>14</v>
      </c>
      <c r="B15" s="5" t="s">
        <v>167</v>
      </c>
      <c r="C15" s="1" t="s">
        <v>168</v>
      </c>
    </row>
    <row r="16" spans="1:3" ht="31.5">
      <c r="A16" s="1">
        <v>15</v>
      </c>
      <c r="B16" s="5" t="s">
        <v>169</v>
      </c>
      <c r="C16" s="1" t="s">
        <v>170</v>
      </c>
    </row>
    <row r="17" spans="1:3" ht="31.5">
      <c r="A17" s="1">
        <v>16</v>
      </c>
      <c r="B17" s="5" t="s">
        <v>171</v>
      </c>
      <c r="C17" s="1" t="s">
        <v>209</v>
      </c>
    </row>
    <row r="18" spans="1:3" ht="31.5">
      <c r="A18" s="1">
        <v>17</v>
      </c>
      <c r="B18" s="5" t="s">
        <v>172</v>
      </c>
      <c r="C18" s="1" t="s">
        <v>210</v>
      </c>
    </row>
    <row r="19" spans="1:3" ht="31.5">
      <c r="A19" s="1">
        <v>18</v>
      </c>
      <c r="B19" s="5" t="s">
        <v>173</v>
      </c>
      <c r="C19" s="1" t="s">
        <v>211</v>
      </c>
    </row>
    <row r="20" spans="1:3" ht="31.5">
      <c r="A20" s="1">
        <v>19</v>
      </c>
      <c r="B20" s="5" t="s">
        <v>174</v>
      </c>
      <c r="C20" s="1" t="s">
        <v>175</v>
      </c>
    </row>
    <row r="21" spans="1:3" ht="31.5">
      <c r="A21" s="1">
        <v>20</v>
      </c>
      <c r="B21" s="5" t="s">
        <v>176</v>
      </c>
      <c r="C21" s="1" t="s">
        <v>177</v>
      </c>
    </row>
    <row r="22" spans="1:3" ht="31.5">
      <c r="A22" s="1">
        <v>21</v>
      </c>
      <c r="B22" s="5" t="s">
        <v>178</v>
      </c>
      <c r="C22" s="1" t="s">
        <v>179</v>
      </c>
    </row>
    <row r="23" spans="1:3" ht="31.5">
      <c r="A23" s="1">
        <v>22</v>
      </c>
      <c r="B23" s="5" t="s">
        <v>180</v>
      </c>
      <c r="C23" s="1" t="s">
        <v>181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Search Request</vt:lpstr>
      <vt:lpstr>Search Response</vt:lpstr>
      <vt:lpstr>Error Response File</vt:lpstr>
      <vt:lpstr>Error 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Neeraj Rana</dc:creator>
  <cp:keywords/>
  <dc:description/>
  <cp:lastModifiedBy>Prathmesh Kokitkar</cp:lastModifiedBy>
  <cp:revision/>
  <dcterms:created xsi:type="dcterms:W3CDTF">2025-08-22T09:06:44Z</dcterms:created>
  <dcterms:modified xsi:type="dcterms:W3CDTF">2026-08-11T10:55:37Z</dcterms:modified>
  <cp:category/>
  <cp:contentStatus/>
</cp:coreProperties>
</file>