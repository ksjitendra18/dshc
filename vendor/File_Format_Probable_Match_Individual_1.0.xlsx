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File Formats\File_format_cersai\File_format\"/>
    </mc:Choice>
  </mc:AlternateContent>
  <bookViews>
    <workbookView xWindow="-120" yWindow="-120" windowWidth="20730" windowHeight="11040" activeTab="3"/>
  </bookViews>
  <sheets>
    <sheet name="Recon Request" sheetId="1" r:id="rId1"/>
    <sheet name="Recon Response" sheetId="2" r:id="rId2"/>
    <sheet name="Error Response File" sheetId="3" r:id="rId3"/>
    <sheet name="Error Code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  <c r="A30" i="1" s="1"/>
  <c r="A31" i="1" s="1"/>
  <c r="A52" i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31" i="2" l="1"/>
  <c r="A32" i="2" s="1"/>
  <c r="A33" i="2" s="1"/>
  <c r="A34" i="2" s="1"/>
  <c r="A35" i="2" s="1"/>
  <c r="A36" i="2" s="1"/>
  <c r="A36" i="1" l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</calcChain>
</file>

<file path=xl/sharedStrings.xml><?xml version="1.0" encoding="utf-8"?>
<sst xmlns="http://schemas.openxmlformats.org/spreadsheetml/2006/main" count="389" uniqueCount="199">
  <si>
    <t>File Name</t>
  </si>
  <si>
    <t>FICODE</t>
  </si>
  <si>
    <t>DDMMYYYY</t>
  </si>
  <si>
    <t>nnnnn</t>
  </si>
  <si>
    <t>Record Type</t>
  </si>
  <si>
    <t>Record Identifier</t>
  </si>
  <si>
    <t>Remarks</t>
  </si>
  <si>
    <t>Header</t>
  </si>
  <si>
    <t>Detail</t>
  </si>
  <si>
    <t>Header Record (10)</t>
  </si>
  <si>
    <t>Sr.no</t>
  </si>
  <si>
    <t>Description</t>
  </si>
  <si>
    <t>Data Type</t>
  </si>
  <si>
    <t>Size</t>
  </si>
  <si>
    <t>Status</t>
  </si>
  <si>
    <t>Number</t>
  </si>
  <si>
    <t>M</t>
  </si>
  <si>
    <t>10 - Header</t>
  </si>
  <si>
    <t>FI Code</t>
  </si>
  <si>
    <t>Character</t>
  </si>
  <si>
    <t>Region Code</t>
  </si>
  <si>
    <t>Varchar</t>
  </si>
  <si>
    <t>Total No of Detail Records</t>
  </si>
  <si>
    <t xml:space="preserve">Create Date </t>
  </si>
  <si>
    <t xml:space="preserve">Date </t>
  </si>
  <si>
    <t>'DD-MM-YYYY'</t>
  </si>
  <si>
    <t>Filler 1</t>
  </si>
  <si>
    <t>O</t>
  </si>
  <si>
    <t>Filler 2</t>
  </si>
  <si>
    <t>Filler 3</t>
  </si>
  <si>
    <t>Detail (20)</t>
  </si>
  <si>
    <t>Sr No.</t>
  </si>
  <si>
    <t>20 - Detail Record</t>
  </si>
  <si>
    <t>Line Number</t>
  </si>
  <si>
    <t>Running sequence starting from 1</t>
  </si>
  <si>
    <t>CM</t>
  </si>
  <si>
    <t>Date</t>
  </si>
  <si>
    <t>File Naming Convention</t>
  </si>
  <si>
    <t>Client Type</t>
  </si>
  <si>
    <t>Breakup</t>
  </si>
  <si>
    <t>As in upload file</t>
  </si>
  <si>
    <t>Filler</t>
  </si>
  <si>
    <t>CKYC Reference Number</t>
  </si>
  <si>
    <t>Masked mobile number with first 2 and last 2 digits visible</t>
  </si>
  <si>
    <t>Masked email ID with first 2 charachers  and domain visible</t>
  </si>
  <si>
    <t>.RES</t>
  </si>
  <si>
    <t xml:space="preserve">CKYC Number </t>
  </si>
  <si>
    <t>Sr. No.</t>
  </si>
  <si>
    <t>Field Type</t>
  </si>
  <si>
    <t>Field Name</t>
  </si>
  <si>
    <t>Field Value</t>
  </si>
  <si>
    <t>Line Number of Input File</t>
  </si>
  <si>
    <t>Error Code</t>
  </si>
  <si>
    <t>Error Description</t>
  </si>
  <si>
    <t>Line number of the Input file</t>
  </si>
  <si>
    <t>Field Name in which error occurred</t>
  </si>
  <si>
    <t>Value provided due to which error occurred</t>
  </si>
  <si>
    <t>I-Individual
L-Legal Entity</t>
  </si>
  <si>
    <r>
      <rPr>
        <b/>
        <sz val="12"/>
        <color theme="1"/>
        <rFont val="Cambria"/>
        <family val="1"/>
      </rPr>
      <t xml:space="preserve">File Naming Convention </t>
    </r>
    <r>
      <rPr>
        <sz val="12"/>
        <color theme="1"/>
        <rFont val="Cambria"/>
        <family val="1"/>
      </rPr>
      <t>: File name will be same as Input file with suffix as ".ERR"</t>
    </r>
  </si>
  <si>
    <t>Running sequence number for the day</t>
  </si>
  <si>
    <t>Mobile Number</t>
  </si>
  <si>
    <t>Total Number of Records</t>
  </si>
  <si>
    <t>Total recods processed</t>
  </si>
  <si>
    <t>Records Under processing</t>
  </si>
  <si>
    <t>Records Failed</t>
  </si>
  <si>
    <t>Response Timestamp</t>
  </si>
  <si>
    <t>Timestamp</t>
  </si>
  <si>
    <t>m</t>
  </si>
  <si>
    <t>m indicates  response file number</t>
  </si>
  <si>
    <t>.RECON.RE</t>
  </si>
  <si>
    <t>Indicates reconciliation file of RE</t>
  </si>
  <si>
    <t>Name of Matching record</t>
  </si>
  <si>
    <t>Email</t>
  </si>
  <si>
    <t xml:space="preserve">Gender </t>
  </si>
  <si>
    <t>Char</t>
  </si>
  <si>
    <t>Last Updated On</t>
  </si>
  <si>
    <t>Submitted document</t>
  </si>
  <si>
    <t>varchar</t>
  </si>
  <si>
    <t>Possible values: NM :No Match
CM:Confirmed Match</t>
  </si>
  <si>
    <t>Indicates Response File</t>
  </si>
  <si>
    <t>ERR_Recon_001</t>
  </si>
  <si>
    <t>ERR_Recon_002</t>
  </si>
  <si>
    <t>ERR_Recon_003</t>
  </si>
  <si>
    <t>ERR_Recon_004</t>
  </si>
  <si>
    <t>ERR_Recon_005</t>
  </si>
  <si>
    <t>ERR_Recon_006</t>
  </si>
  <si>
    <t>ERR_Recon_007</t>
  </si>
  <si>
    <t>ERR_Recon_008</t>
  </si>
  <si>
    <t>ERR_Recon_009</t>
  </si>
  <si>
    <t>ERR_Recon_010</t>
  </si>
  <si>
    <t>ERR_Recon_011</t>
  </si>
  <si>
    <t>ERR_Recon_012</t>
  </si>
  <si>
    <t>ERR_Recon_013</t>
  </si>
  <si>
    <t>ERR_Recon_014</t>
  </si>
  <si>
    <t>ERR_Recon_015</t>
  </si>
  <si>
    <t>ERR_Recon_016</t>
  </si>
  <si>
    <t>ERR_Recon_017</t>
  </si>
  <si>
    <t>ERR_Recon_018</t>
  </si>
  <si>
    <t>ERR_Recon_019</t>
  </si>
  <si>
    <t>ERR_Recon_020</t>
  </si>
  <si>
    <t>ERR_Recon_021</t>
  </si>
  <si>
    <t>ERR_Recon_022</t>
  </si>
  <si>
    <t>Client Type is missing.</t>
  </si>
  <si>
    <t>Client Type must be 1 character.</t>
  </si>
  <si>
    <t>Invalid Client Type value.</t>
  </si>
  <si>
    <t>Name is missing.</t>
  </si>
  <si>
    <t>Name exceeds maximum length of 250 characters.</t>
  </si>
  <si>
    <t>Name contains invalid characters.</t>
  </si>
  <si>
    <t>Mobile Number is missing.</t>
  </si>
  <si>
    <t>Mobile Number must be 10–12 digits.</t>
  </si>
  <si>
    <t>Mobile Number contains non-numeric characters.</t>
  </si>
  <si>
    <t>Invalid Mobile Number format.</t>
  </si>
  <si>
    <t>Email address is missing.</t>
  </si>
  <si>
    <t>Email format is invalid.</t>
  </si>
  <si>
    <t>Email exceeds maximum length of 99 characters.</t>
  </si>
  <si>
    <t>Gender is missing.</t>
  </si>
  <si>
    <t>Gender must be 1 character (M/F/T).</t>
  </si>
  <si>
    <t>Invalid Gender value.</t>
  </si>
  <si>
    <t>Last Updated On date is missing.</t>
  </si>
  <si>
    <t>Invalid date format (expected DD-MM-YYYY).</t>
  </si>
  <si>
    <t>Future date not allowed.</t>
  </si>
  <si>
    <t>Submitted document exceeds maximum length of 250 characters.</t>
  </si>
  <si>
    <t>Submitted document contains invalid characters.</t>
  </si>
  <si>
    <t>CIN is missing (if mandatory).</t>
  </si>
  <si>
    <t>CIN exceeds maximum length of 20 characters.</t>
  </si>
  <si>
    <t>CIN format is invalid.</t>
  </si>
  <si>
    <t>Date of Incorporation is missing.</t>
  </si>
  <si>
    <t>Photo Reference Number exceeds maximum length of 40 characters.</t>
  </si>
  <si>
    <t>Photo Reference Number contains invalid characters.</t>
  </si>
  <si>
    <t>FI Decision is missing.</t>
  </si>
  <si>
    <t>FI Decision must be 2 characters.</t>
  </si>
  <si>
    <t>Invalid FI Decision value.</t>
  </si>
  <si>
    <t>ERR_Recon_023</t>
  </si>
  <si>
    <t>ERR_Recon_024</t>
  </si>
  <si>
    <t>ERR_Recon_025</t>
  </si>
  <si>
    <t>ERR_Recon_026</t>
  </si>
  <si>
    <t>ERR_Recon_027</t>
  </si>
  <si>
    <t>ERR_Recon_028</t>
  </si>
  <si>
    <t>ERR_Recon_029</t>
  </si>
  <si>
    <t>ERR_Recon_030</t>
  </si>
  <si>
    <t>ERR_Recon_031</t>
  </si>
  <si>
    <t>ERR_Recon_032</t>
  </si>
  <si>
    <t>Ack Number</t>
  </si>
  <si>
    <t>Matching Criteria</t>
  </si>
  <si>
    <t>Matching Percentage</t>
  </si>
  <si>
    <t>Matching percentage of Record</t>
  </si>
  <si>
    <t>Client type</t>
  </si>
  <si>
    <t>Generated for each record</t>
  </si>
  <si>
    <t xml:space="preserve">Name </t>
  </si>
  <si>
    <t>Values:
M-Male
F-Female
T-Transgender</t>
  </si>
  <si>
    <t>CKYC ref No</t>
  </si>
  <si>
    <t>Ckyc Reference Number of matching record.</t>
  </si>
  <si>
    <t>photo</t>
  </si>
  <si>
    <t>Client  Type</t>
  </si>
  <si>
    <t>I-Individual</t>
  </si>
  <si>
    <t>Details of Uploaded record, multiple per file.</t>
  </si>
  <si>
    <t>Details of probable match record, multiple per file.</t>
  </si>
  <si>
    <t>Ack number of uploaded record of record type 20</t>
  </si>
  <si>
    <t>Match status</t>
  </si>
  <si>
    <t>Possible values
01-No Match
02-Confirmed Match</t>
  </si>
  <si>
    <t>I-Individual
L-Legal entity</t>
  </si>
  <si>
    <t>.UPL</t>
  </si>
  <si>
    <t>Record Level Hash</t>
  </si>
  <si>
    <t>Record level Hash Value added by FVU</t>
  </si>
  <si>
    <t>FVU Version Number</t>
  </si>
  <si>
    <t>FVU Version number added by FVU</t>
  </si>
  <si>
    <t>Record level Hash</t>
  </si>
  <si>
    <t>Record level hash value added by FVU</t>
  </si>
  <si>
    <t>File Level Hash</t>
  </si>
  <si>
    <t>File level hash value added by FVU</t>
  </si>
  <si>
    <t xml:space="preserve">UPL indicates Upload file
</t>
  </si>
  <si>
    <t>Matching criteria separated by '^'.</t>
  </si>
  <si>
    <t>Line Number of input file record type 20</t>
  </si>
  <si>
    <t>Line Number of record 20</t>
  </si>
  <si>
    <t>‘110’</t>
  </si>
  <si>
    <t>‘120’</t>
  </si>
  <si>
    <t>‘130’</t>
  </si>
  <si>
    <t>Header Record (110)</t>
  </si>
  <si>
    <t>Detail (120)</t>
  </si>
  <si>
    <t>Detail (130)</t>
  </si>
  <si>
    <t>USERID</t>
  </si>
  <si>
    <t xml:space="preserve">UserID of Logged in USer
</t>
  </si>
  <si>
    <t>Clienttype_FICODE_DDMMYYYY_nnnnn.UPL.RECON.RE</t>
  </si>
  <si>
    <t>UserID of Logged In User</t>
  </si>
  <si>
    <t>Date format 'DD-MM-YYYY'</t>
  </si>
  <si>
    <t>Date format : 'DD-MM-YYYY'</t>
  </si>
  <si>
    <t>130 - Detail Record</t>
  </si>
  <si>
    <t>120 - Detail Record</t>
  </si>
  <si>
    <t>Current date in DD-MM-YYYY format</t>
  </si>
  <si>
    <t>USER ID</t>
  </si>
  <si>
    <t>Institute Registration Code as provided by CKYCRR</t>
  </si>
  <si>
    <t>Mandatory for Regional and branch users.</t>
  </si>
  <si>
    <t>Supporting documents name  separated by '^'.</t>
  </si>
  <si>
    <t xml:space="preserve">File name of the Photograph "P"+Line number of record type "20".
</t>
  </si>
  <si>
    <t xml:space="preserve">File name of the Photograph "P"+Line number of record type "30".
</t>
  </si>
  <si>
    <t>RE Decision</t>
  </si>
  <si>
    <t>Clienttype_FICODE_DDMMYYYY_nnnnn.UPL.RECON.RE.RESm</t>
  </si>
  <si>
    <t>Ckyc Reference Number provided for record status 02</t>
  </si>
  <si>
    <t>Provided for record status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</si>
</sst>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name val="Cambria"/>
      <family val="1"/>
    </font>
    <font>
      <sz val="12"/>
      <color rgb="FF000000"/>
      <name val="Cambria"/>
      <family val="1"/>
    </font>
    <font>
      <b/>
      <sz val="14"/>
      <color theme="1"/>
      <name val="Cambria"/>
      <family val="1"/>
    </font>
    <font>
      <b/>
      <sz val="12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/>
    <xf numFmtId="0" fontId="3" fillId="0" borderId="0" xfId="0" quotePrefix="1" applyFont="1" applyAlignment="1">
      <alignment vertical="top"/>
    </xf>
    <xf numFmtId="0" fontId="3" fillId="0" borderId="0" xfId="0" applyFont="1" applyAlignment="1">
      <alignment horizontal="center" vertical="top"/>
    </xf>
    <xf numFmtId="3" fontId="3" fillId="0" borderId="0" xfId="0" applyNumberFormat="1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quotePrefix="1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quotePrefix="1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1" applyFont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2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4" fillId="0" borderId="1" xfId="2" applyFont="1" applyBorder="1" applyAlignment="1">
      <alignment vertical="top" wrapText="1"/>
    </xf>
    <xf numFmtId="0" fontId="4" fillId="0" borderId="1" xfId="2" applyFont="1" applyBorder="1" applyAlignment="1">
      <alignment horizontal="center" vertical="top" wrapText="1"/>
    </xf>
    <xf numFmtId="0" fontId="4" fillId="0" borderId="1" xfId="2" quotePrefix="1" applyFont="1" applyBorder="1" applyAlignment="1">
      <alignment vertical="top" wrapText="1"/>
    </xf>
    <xf numFmtId="0" fontId="3" fillId="0" borderId="1" xfId="0" applyFont="1" applyBorder="1"/>
    <xf numFmtId="0" fontId="4" fillId="0" borderId="1" xfId="2" applyFont="1" applyBorder="1" applyAlignment="1">
      <alignment horizontal="right" vertical="top" wrapText="1"/>
    </xf>
    <xf numFmtId="0" fontId="4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21" fontId="4" fillId="0" borderId="1" xfId="2" applyNumberFormat="1" applyFont="1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2" applyFont="1" applyBorder="1" applyAlignment="1">
      <alignment horizontal="left" vertical="top" wrapText="1"/>
    </xf>
    <xf numFmtId="0" fontId="4" fillId="2" borderId="1" xfId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/>
    </xf>
    <xf numFmtId="0" fontId="3" fillId="0" borderId="1" xfId="0" quotePrefix="1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/>
    </xf>
    <xf numFmtId="0" fontId="4" fillId="0" borderId="1" xfId="1" applyFont="1" applyBorder="1" applyAlignment="1">
      <alignment horizontal="left" vertical="top" wrapText="1"/>
    </xf>
    <xf numFmtId="0" fontId="4" fillId="2" borderId="1" xfId="2" applyFont="1" applyFill="1" applyBorder="1" applyAlignment="1">
      <alignment horizontal="left" vertical="top" wrapText="1"/>
    </xf>
    <xf numFmtId="0" fontId="4" fillId="0" borderId="1" xfId="2" quotePrefix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4" fillId="0" borderId="1" xfId="2" applyFont="1" applyBorder="1" applyAlignment="1">
      <alignment horizontal="left" vertical="top" wrapText="1"/>
    </xf>
    <xf numFmtId="0" fontId="4" fillId="2" borderId="1" xfId="2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</cellXfs>
  <cellStyles count="3">
    <cellStyle name="Normal" xfId="0" builtinId="0"/>
    <cellStyle name="Normal 3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showGridLines="0" topLeftCell="A49" zoomScaleNormal="100" workbookViewId="0">
      <selection activeCell="B65" sqref="B65"/>
    </sheetView>
  </sheetViews>
  <sheetFormatPr defaultColWidth="9.109375" defaultRowHeight="15.75"/>
  <cols>
    <col min="1" max="1" width="12.109375" style="7" bestFit="1" customWidth="1"/>
    <col min="2" max="2" width="49" style="7" bestFit="1" customWidth="1"/>
    <col min="3" max="3" width="9.88671875" style="7" bestFit="1" customWidth="1"/>
    <col min="4" max="4" width="5.6640625" style="7" bestFit="1" customWidth="1"/>
    <col min="5" max="5" width="6.33203125" style="7" bestFit="1" customWidth="1"/>
    <col min="6" max="6" width="47.77734375" style="7" bestFit="1" customWidth="1"/>
    <col min="7" max="16384" width="9.109375" style="7"/>
  </cols>
  <sheetData>
    <row r="1" spans="1:6" ht="18">
      <c r="A1" s="52" t="s">
        <v>37</v>
      </c>
      <c r="B1" s="53"/>
    </row>
    <row r="2" spans="1:6">
      <c r="A2" s="41" t="s">
        <v>39</v>
      </c>
      <c r="B2" s="41" t="s">
        <v>11</v>
      </c>
    </row>
    <row r="3" spans="1:6">
      <c r="A3" s="42" t="s">
        <v>0</v>
      </c>
      <c r="B3" s="42" t="s">
        <v>182</v>
      </c>
    </row>
    <row r="4" spans="1:6" ht="31.5">
      <c r="A4" s="42" t="s">
        <v>146</v>
      </c>
      <c r="B4" s="43" t="s">
        <v>57</v>
      </c>
    </row>
    <row r="5" spans="1:6" ht="31.5">
      <c r="A5" s="42" t="s">
        <v>189</v>
      </c>
      <c r="B5" s="43" t="s">
        <v>181</v>
      </c>
    </row>
    <row r="6" spans="1:6">
      <c r="A6" s="42" t="s">
        <v>1</v>
      </c>
      <c r="B6" s="42" t="s">
        <v>190</v>
      </c>
    </row>
    <row r="7" spans="1:6">
      <c r="A7" s="42" t="s">
        <v>2</v>
      </c>
      <c r="B7" s="43" t="s">
        <v>188</v>
      </c>
    </row>
    <row r="8" spans="1:6">
      <c r="A8" s="42" t="s">
        <v>3</v>
      </c>
      <c r="B8" s="44" t="s">
        <v>59</v>
      </c>
    </row>
    <row r="9" spans="1:6" ht="31.5">
      <c r="A9" s="42" t="s">
        <v>161</v>
      </c>
      <c r="B9" s="45" t="s">
        <v>170</v>
      </c>
    </row>
    <row r="10" spans="1:6">
      <c r="A10" s="42" t="s">
        <v>69</v>
      </c>
      <c r="B10" s="44" t="s">
        <v>70</v>
      </c>
    </row>
    <row r="11" spans="1:6">
      <c r="B11" s="46"/>
      <c r="C11" s="10"/>
      <c r="D11" s="10"/>
    </row>
    <row r="12" spans="1:6">
      <c r="C12" s="10"/>
    </row>
    <row r="13" spans="1:6">
      <c r="A13" s="40" t="s">
        <v>4</v>
      </c>
      <c r="B13" s="40" t="s">
        <v>5</v>
      </c>
      <c r="C13" s="61" t="s">
        <v>6</v>
      </c>
      <c r="D13" s="61"/>
      <c r="E13" s="61"/>
      <c r="F13" s="61"/>
    </row>
    <row r="14" spans="1:6">
      <c r="A14" s="47" t="s">
        <v>7</v>
      </c>
      <c r="B14" s="47" t="s">
        <v>174</v>
      </c>
      <c r="C14" s="60" t="s">
        <v>7</v>
      </c>
      <c r="D14" s="60"/>
      <c r="E14" s="60"/>
      <c r="F14" s="60"/>
    </row>
    <row r="15" spans="1:6">
      <c r="A15" s="47" t="s">
        <v>8</v>
      </c>
      <c r="B15" s="47" t="s">
        <v>175</v>
      </c>
      <c r="C15" s="60" t="s">
        <v>155</v>
      </c>
      <c r="D15" s="60"/>
      <c r="E15" s="60"/>
      <c r="F15" s="60"/>
    </row>
    <row r="16" spans="1:6">
      <c r="A16" s="47" t="s">
        <v>8</v>
      </c>
      <c r="B16" s="47" t="s">
        <v>176</v>
      </c>
      <c r="C16" s="60" t="s">
        <v>156</v>
      </c>
      <c r="D16" s="60"/>
      <c r="E16" s="60"/>
      <c r="F16" s="60"/>
    </row>
    <row r="17" spans="1:6">
      <c r="C17" s="10"/>
    </row>
    <row r="18" spans="1:6">
      <c r="A18" s="54" t="s">
        <v>177</v>
      </c>
      <c r="B18" s="55"/>
      <c r="C18" s="55"/>
      <c r="D18" s="55"/>
      <c r="E18" s="55"/>
      <c r="F18" s="56"/>
    </row>
    <row r="19" spans="1:6">
      <c r="A19" s="40" t="s">
        <v>10</v>
      </c>
      <c r="B19" s="40" t="s">
        <v>11</v>
      </c>
      <c r="C19" s="48" t="s">
        <v>12</v>
      </c>
      <c r="D19" s="48" t="s">
        <v>13</v>
      </c>
      <c r="E19" s="48" t="s">
        <v>14</v>
      </c>
      <c r="F19" s="48" t="s">
        <v>6</v>
      </c>
    </row>
    <row r="20" spans="1:6">
      <c r="A20" s="47">
        <v>1</v>
      </c>
      <c r="B20" s="47" t="s">
        <v>4</v>
      </c>
      <c r="C20" s="39" t="s">
        <v>15</v>
      </c>
      <c r="D20" s="39">
        <v>2</v>
      </c>
      <c r="E20" s="39" t="s">
        <v>16</v>
      </c>
      <c r="F20" s="39" t="s">
        <v>17</v>
      </c>
    </row>
    <row r="21" spans="1:6" ht="31.5">
      <c r="A21" s="47">
        <v>2</v>
      </c>
      <c r="B21" s="47" t="s">
        <v>38</v>
      </c>
      <c r="C21" s="39" t="s">
        <v>19</v>
      </c>
      <c r="D21" s="39">
        <v>1</v>
      </c>
      <c r="E21" s="39" t="s">
        <v>16</v>
      </c>
      <c r="F21" s="43" t="s">
        <v>57</v>
      </c>
    </row>
    <row r="22" spans="1:6">
      <c r="A22" s="47">
        <v>3</v>
      </c>
      <c r="B22" s="47" t="s">
        <v>18</v>
      </c>
      <c r="C22" s="39" t="s">
        <v>19</v>
      </c>
      <c r="D22" s="39">
        <v>6</v>
      </c>
      <c r="E22" s="39" t="s">
        <v>16</v>
      </c>
      <c r="F22" s="39"/>
    </row>
    <row r="23" spans="1:6">
      <c r="A23" s="47">
        <v>4</v>
      </c>
      <c r="B23" s="42" t="s">
        <v>20</v>
      </c>
      <c r="C23" s="42" t="s">
        <v>21</v>
      </c>
      <c r="D23" s="42">
        <v>11</v>
      </c>
      <c r="E23" s="42" t="s">
        <v>16</v>
      </c>
      <c r="F23" s="45" t="s">
        <v>191</v>
      </c>
    </row>
    <row r="24" spans="1:6">
      <c r="A24" s="47">
        <v>5</v>
      </c>
      <c r="B24" s="47" t="s">
        <v>22</v>
      </c>
      <c r="C24" s="39" t="s">
        <v>15</v>
      </c>
      <c r="D24" s="39">
        <v>8</v>
      </c>
      <c r="E24" s="39" t="s">
        <v>16</v>
      </c>
      <c r="F24" s="39"/>
    </row>
    <row r="25" spans="1:6">
      <c r="A25" s="47">
        <v>7</v>
      </c>
      <c r="B25" s="47" t="s">
        <v>23</v>
      </c>
      <c r="C25" s="39" t="s">
        <v>24</v>
      </c>
      <c r="D25" s="39">
        <v>10</v>
      </c>
      <c r="E25" s="39" t="s">
        <v>16</v>
      </c>
      <c r="F25" s="49" t="s">
        <v>184</v>
      </c>
    </row>
    <row r="26" spans="1:6">
      <c r="A26" s="47">
        <v>8</v>
      </c>
      <c r="B26" s="47" t="s">
        <v>26</v>
      </c>
      <c r="C26" s="39" t="s">
        <v>19</v>
      </c>
      <c r="D26" s="39">
        <v>50</v>
      </c>
      <c r="E26" s="39" t="s">
        <v>27</v>
      </c>
      <c r="F26" s="39"/>
    </row>
    <row r="27" spans="1:6">
      <c r="A27" s="47">
        <v>9</v>
      </c>
      <c r="B27" s="47" t="s">
        <v>28</v>
      </c>
      <c r="C27" s="39" t="s">
        <v>19</v>
      </c>
      <c r="D27" s="39">
        <v>50</v>
      </c>
      <c r="E27" s="39" t="s">
        <v>27</v>
      </c>
      <c r="F27" s="39"/>
    </row>
    <row r="28" spans="1:6">
      <c r="A28" s="47">
        <v>10</v>
      </c>
      <c r="B28" s="47" t="s">
        <v>29</v>
      </c>
      <c r="C28" s="39" t="s">
        <v>19</v>
      </c>
      <c r="D28" s="39">
        <v>50</v>
      </c>
      <c r="E28" s="39" t="s">
        <v>27</v>
      </c>
      <c r="F28" s="39"/>
    </row>
    <row r="29" spans="1:6">
      <c r="A29" s="47">
        <f t="shared" ref="A29:A31" si="0">A28+1</f>
        <v>11</v>
      </c>
      <c r="B29" s="47" t="s">
        <v>164</v>
      </c>
      <c r="C29" s="39" t="s">
        <v>21</v>
      </c>
      <c r="D29" s="39">
        <v>6</v>
      </c>
      <c r="E29" s="39" t="s">
        <v>16</v>
      </c>
      <c r="F29" s="39" t="s">
        <v>165</v>
      </c>
    </row>
    <row r="30" spans="1:6">
      <c r="A30" s="47">
        <f t="shared" si="0"/>
        <v>12</v>
      </c>
      <c r="B30" s="47" t="s">
        <v>166</v>
      </c>
      <c r="C30" s="39" t="s">
        <v>19</v>
      </c>
      <c r="D30" s="39"/>
      <c r="E30" s="39"/>
      <c r="F30" s="39" t="s">
        <v>167</v>
      </c>
    </row>
    <row r="31" spans="1:6">
      <c r="A31" s="47">
        <f t="shared" si="0"/>
        <v>13</v>
      </c>
      <c r="B31" s="47" t="s">
        <v>168</v>
      </c>
      <c r="C31" s="39" t="s">
        <v>19</v>
      </c>
      <c r="D31" s="39"/>
      <c r="E31" s="39"/>
      <c r="F31" s="39" t="s">
        <v>169</v>
      </c>
    </row>
    <row r="32" spans="1:6">
      <c r="C32" s="10"/>
    </row>
    <row r="33" spans="1:6">
      <c r="A33" s="57" t="s">
        <v>178</v>
      </c>
      <c r="B33" s="58"/>
      <c r="C33" s="58"/>
      <c r="D33" s="58"/>
      <c r="E33" s="58"/>
      <c r="F33" s="59"/>
    </row>
    <row r="34" spans="1:6">
      <c r="A34" s="41" t="s">
        <v>31</v>
      </c>
      <c r="B34" s="41" t="s">
        <v>11</v>
      </c>
      <c r="C34" s="48" t="s">
        <v>12</v>
      </c>
      <c r="D34" s="48" t="s">
        <v>13</v>
      </c>
      <c r="E34" s="41" t="s">
        <v>14</v>
      </c>
      <c r="F34" s="41" t="s">
        <v>6</v>
      </c>
    </row>
    <row r="35" spans="1:6">
      <c r="A35" s="42">
        <v>1</v>
      </c>
      <c r="B35" s="47" t="s">
        <v>4</v>
      </c>
      <c r="C35" s="39" t="s">
        <v>15</v>
      </c>
      <c r="D35" s="39">
        <v>2</v>
      </c>
      <c r="E35" s="39" t="s">
        <v>16</v>
      </c>
      <c r="F35" s="39" t="s">
        <v>187</v>
      </c>
    </row>
    <row r="36" spans="1:6">
      <c r="A36" s="42">
        <f>A35+1</f>
        <v>2</v>
      </c>
      <c r="B36" s="42" t="s">
        <v>33</v>
      </c>
      <c r="C36" s="39" t="s">
        <v>15</v>
      </c>
      <c r="D36" s="42">
        <v>8</v>
      </c>
      <c r="E36" s="42" t="s">
        <v>16</v>
      </c>
      <c r="F36" s="42" t="s">
        <v>34</v>
      </c>
    </row>
    <row r="37" spans="1:6">
      <c r="A37" s="42">
        <f t="shared" ref="A37:A47" si="1">A36+1</f>
        <v>3</v>
      </c>
      <c r="B37" s="42" t="s">
        <v>173</v>
      </c>
      <c r="C37" s="39" t="s">
        <v>15</v>
      </c>
      <c r="D37" s="39">
        <v>8</v>
      </c>
      <c r="E37" s="39" t="s">
        <v>16</v>
      </c>
      <c r="F37" s="42"/>
    </row>
    <row r="38" spans="1:6">
      <c r="A38" s="42">
        <f t="shared" si="1"/>
        <v>4</v>
      </c>
      <c r="B38" s="42" t="s">
        <v>142</v>
      </c>
      <c r="C38" s="39" t="s">
        <v>21</v>
      </c>
      <c r="D38" s="39">
        <v>20</v>
      </c>
      <c r="E38" s="39" t="s">
        <v>16</v>
      </c>
      <c r="F38" s="42" t="s">
        <v>147</v>
      </c>
    </row>
    <row r="39" spans="1:6">
      <c r="A39" s="42">
        <f t="shared" si="1"/>
        <v>5</v>
      </c>
      <c r="B39" s="42" t="s">
        <v>148</v>
      </c>
      <c r="C39" s="39" t="s">
        <v>21</v>
      </c>
      <c r="D39" s="39">
        <v>250</v>
      </c>
      <c r="E39" s="39" t="s">
        <v>16</v>
      </c>
      <c r="F39" s="43" t="s">
        <v>71</v>
      </c>
    </row>
    <row r="40" spans="1:6" ht="63">
      <c r="A40" s="42">
        <f t="shared" si="1"/>
        <v>6</v>
      </c>
      <c r="B40" s="42" t="s">
        <v>73</v>
      </c>
      <c r="C40" s="39" t="s">
        <v>74</v>
      </c>
      <c r="D40" s="39">
        <v>1</v>
      </c>
      <c r="E40" s="39" t="s">
        <v>16</v>
      </c>
      <c r="F40" s="43" t="s">
        <v>149</v>
      </c>
    </row>
    <row r="41" spans="1:6">
      <c r="A41" s="42">
        <f t="shared" si="1"/>
        <v>7</v>
      </c>
      <c r="B41" s="42" t="s">
        <v>60</v>
      </c>
      <c r="C41" s="39" t="s">
        <v>21</v>
      </c>
      <c r="D41" s="39">
        <v>12</v>
      </c>
      <c r="E41" s="39" t="s">
        <v>16</v>
      </c>
      <c r="F41" s="43" t="s">
        <v>43</v>
      </c>
    </row>
    <row r="42" spans="1:6">
      <c r="A42" s="42">
        <f t="shared" si="1"/>
        <v>8</v>
      </c>
      <c r="B42" s="42" t="s">
        <v>72</v>
      </c>
      <c r="C42" s="39" t="s">
        <v>21</v>
      </c>
      <c r="D42" s="39">
        <v>99</v>
      </c>
      <c r="E42" s="39" t="s">
        <v>16</v>
      </c>
      <c r="F42" s="43" t="s">
        <v>44</v>
      </c>
    </row>
    <row r="43" spans="1:6">
      <c r="A43" s="42">
        <f t="shared" si="1"/>
        <v>9</v>
      </c>
      <c r="B43" s="42" t="s">
        <v>75</v>
      </c>
      <c r="C43" s="39" t="s">
        <v>36</v>
      </c>
      <c r="D43" s="39">
        <v>10</v>
      </c>
      <c r="E43" s="39" t="s">
        <v>16</v>
      </c>
      <c r="F43" s="49" t="s">
        <v>25</v>
      </c>
    </row>
    <row r="44" spans="1:6">
      <c r="A44" s="42">
        <f t="shared" si="1"/>
        <v>10</v>
      </c>
      <c r="B44" s="42" t="s">
        <v>76</v>
      </c>
      <c r="C44" s="42" t="s">
        <v>77</v>
      </c>
      <c r="D44" s="42">
        <v>250</v>
      </c>
      <c r="E44" s="39" t="s">
        <v>16</v>
      </c>
      <c r="F44" s="43" t="s">
        <v>192</v>
      </c>
    </row>
    <row r="45" spans="1:6" ht="47.25">
      <c r="A45" s="42">
        <f t="shared" si="1"/>
        <v>11</v>
      </c>
      <c r="B45" s="42" t="s">
        <v>152</v>
      </c>
      <c r="C45" s="39" t="s">
        <v>21</v>
      </c>
      <c r="D45" s="39">
        <v>20</v>
      </c>
      <c r="E45" s="39" t="s">
        <v>16</v>
      </c>
      <c r="F45" s="43" t="s">
        <v>193</v>
      </c>
    </row>
    <row r="46" spans="1:6" ht="31.5">
      <c r="A46" s="42">
        <f t="shared" si="1"/>
        <v>12</v>
      </c>
      <c r="B46" s="42" t="s">
        <v>195</v>
      </c>
      <c r="C46" s="42" t="s">
        <v>74</v>
      </c>
      <c r="D46" s="42">
        <v>2</v>
      </c>
      <c r="E46" s="42" t="s">
        <v>16</v>
      </c>
      <c r="F46" s="50" t="s">
        <v>78</v>
      </c>
    </row>
    <row r="47" spans="1:6">
      <c r="A47" s="42">
        <f t="shared" si="1"/>
        <v>13</v>
      </c>
      <c r="B47" s="42" t="s">
        <v>162</v>
      </c>
      <c r="C47" s="42"/>
      <c r="D47" s="42"/>
      <c r="E47" s="42"/>
      <c r="F47" s="50" t="s">
        <v>163</v>
      </c>
    </row>
    <row r="49" spans="1:7">
      <c r="A49" s="54" t="s">
        <v>179</v>
      </c>
      <c r="B49" s="55"/>
      <c r="C49" s="55"/>
      <c r="D49" s="55"/>
      <c r="E49" s="55"/>
      <c r="F49" s="56"/>
    </row>
    <row r="50" spans="1:7">
      <c r="A50" s="41" t="s">
        <v>31</v>
      </c>
      <c r="B50" s="41" t="s">
        <v>11</v>
      </c>
      <c r="C50" s="48" t="s">
        <v>12</v>
      </c>
      <c r="D50" s="48" t="s">
        <v>13</v>
      </c>
      <c r="E50" s="41" t="s">
        <v>14</v>
      </c>
      <c r="F50" s="41" t="s">
        <v>6</v>
      </c>
    </row>
    <row r="51" spans="1:7">
      <c r="A51" s="42">
        <v>1</v>
      </c>
      <c r="B51" s="47" t="s">
        <v>4</v>
      </c>
      <c r="C51" s="39" t="s">
        <v>15</v>
      </c>
      <c r="D51" s="39">
        <v>2</v>
      </c>
      <c r="E51" s="39" t="s">
        <v>16</v>
      </c>
      <c r="F51" s="39" t="s">
        <v>186</v>
      </c>
    </row>
    <row r="52" spans="1:7">
      <c r="A52" s="42">
        <f>A51+1</f>
        <v>2</v>
      </c>
      <c r="B52" s="42" t="s">
        <v>33</v>
      </c>
      <c r="C52" s="39" t="s">
        <v>15</v>
      </c>
      <c r="D52" s="42">
        <v>8</v>
      </c>
      <c r="E52" s="42" t="s">
        <v>16</v>
      </c>
      <c r="F52" s="42" t="s">
        <v>34</v>
      </c>
    </row>
    <row r="53" spans="1:7">
      <c r="A53" s="42">
        <f>A52+1</f>
        <v>3</v>
      </c>
      <c r="B53" s="42" t="s">
        <v>142</v>
      </c>
      <c r="C53" s="39" t="s">
        <v>15</v>
      </c>
      <c r="D53" s="39">
        <v>20</v>
      </c>
      <c r="E53" s="39" t="s">
        <v>16</v>
      </c>
      <c r="F53" s="42" t="s">
        <v>157</v>
      </c>
    </row>
    <row r="54" spans="1:7">
      <c r="A54" s="42">
        <f t="shared" ref="A54:A64" si="2">A53+1</f>
        <v>4</v>
      </c>
      <c r="B54" s="42" t="s">
        <v>148</v>
      </c>
      <c r="C54" s="39" t="s">
        <v>21</v>
      </c>
      <c r="D54" s="39">
        <v>250</v>
      </c>
      <c r="E54" s="39" t="s">
        <v>16</v>
      </c>
      <c r="F54" s="43" t="s">
        <v>71</v>
      </c>
    </row>
    <row r="55" spans="1:7" ht="63">
      <c r="A55" s="42">
        <f t="shared" si="2"/>
        <v>5</v>
      </c>
      <c r="B55" s="42" t="s">
        <v>73</v>
      </c>
      <c r="C55" s="39" t="s">
        <v>74</v>
      </c>
      <c r="D55" s="39">
        <v>1</v>
      </c>
      <c r="E55" s="39" t="s">
        <v>16</v>
      </c>
      <c r="F55" s="43" t="s">
        <v>149</v>
      </c>
    </row>
    <row r="56" spans="1:7">
      <c r="A56" s="42">
        <f t="shared" si="2"/>
        <v>6</v>
      </c>
      <c r="B56" s="42" t="s">
        <v>150</v>
      </c>
      <c r="C56" s="39" t="s">
        <v>21</v>
      </c>
      <c r="D56" s="39">
        <v>15</v>
      </c>
      <c r="E56" s="39" t="s">
        <v>16</v>
      </c>
      <c r="F56" s="42" t="s">
        <v>151</v>
      </c>
    </row>
    <row r="57" spans="1:7">
      <c r="A57" s="42">
        <f t="shared" si="2"/>
        <v>7</v>
      </c>
      <c r="B57" s="42" t="s">
        <v>60</v>
      </c>
      <c r="C57" s="39" t="s">
        <v>21</v>
      </c>
      <c r="D57" s="39">
        <v>12</v>
      </c>
      <c r="E57" s="39" t="s">
        <v>16</v>
      </c>
      <c r="F57" s="43" t="s">
        <v>43</v>
      </c>
    </row>
    <row r="58" spans="1:7">
      <c r="A58" s="42">
        <f t="shared" si="2"/>
        <v>8</v>
      </c>
      <c r="B58" s="42" t="s">
        <v>72</v>
      </c>
      <c r="C58" s="39" t="s">
        <v>21</v>
      </c>
      <c r="D58" s="39">
        <v>99</v>
      </c>
      <c r="E58" s="39" t="s">
        <v>16</v>
      </c>
      <c r="F58" s="43" t="s">
        <v>44</v>
      </c>
    </row>
    <row r="59" spans="1:7">
      <c r="A59" s="42">
        <f t="shared" si="2"/>
        <v>9</v>
      </c>
      <c r="B59" s="42" t="s">
        <v>75</v>
      </c>
      <c r="C59" s="39" t="s">
        <v>36</v>
      </c>
      <c r="D59" s="39">
        <v>10</v>
      </c>
      <c r="E59" s="39" t="s">
        <v>16</v>
      </c>
      <c r="F59" s="49" t="s">
        <v>25</v>
      </c>
    </row>
    <row r="60" spans="1:7">
      <c r="A60" s="42">
        <f t="shared" si="2"/>
        <v>10</v>
      </c>
      <c r="B60" s="42" t="s">
        <v>76</v>
      </c>
      <c r="C60" s="42" t="s">
        <v>77</v>
      </c>
      <c r="D60" s="42">
        <v>250</v>
      </c>
      <c r="E60" s="39" t="s">
        <v>16</v>
      </c>
      <c r="F60" s="43" t="s">
        <v>192</v>
      </c>
    </row>
    <row r="61" spans="1:7">
      <c r="A61" s="42">
        <f t="shared" si="2"/>
        <v>11</v>
      </c>
      <c r="B61" s="42" t="s">
        <v>143</v>
      </c>
      <c r="C61" s="42" t="s">
        <v>21</v>
      </c>
      <c r="D61" s="42">
        <v>1000</v>
      </c>
      <c r="E61" s="39" t="s">
        <v>16</v>
      </c>
      <c r="F61" s="43" t="s">
        <v>171</v>
      </c>
    </row>
    <row r="62" spans="1:7">
      <c r="A62" s="42">
        <f t="shared" si="2"/>
        <v>12</v>
      </c>
      <c r="B62" s="42" t="s">
        <v>144</v>
      </c>
      <c r="C62" s="42" t="s">
        <v>21</v>
      </c>
      <c r="D62" s="42">
        <v>5</v>
      </c>
      <c r="E62" s="39" t="s">
        <v>16</v>
      </c>
      <c r="F62" s="42" t="s">
        <v>145</v>
      </c>
      <c r="G62" s="51"/>
    </row>
    <row r="63" spans="1:7" ht="47.25">
      <c r="A63" s="42">
        <f t="shared" si="2"/>
        <v>13</v>
      </c>
      <c r="B63" s="42" t="s">
        <v>152</v>
      </c>
      <c r="C63" s="39" t="s">
        <v>21</v>
      </c>
      <c r="D63" s="39">
        <v>20</v>
      </c>
      <c r="E63" s="39" t="s">
        <v>16</v>
      </c>
      <c r="F63" s="43" t="s">
        <v>194</v>
      </c>
    </row>
    <row r="64" spans="1:7" ht="31.5">
      <c r="A64" s="42">
        <f t="shared" si="2"/>
        <v>14</v>
      </c>
      <c r="B64" s="42" t="s">
        <v>195</v>
      </c>
      <c r="C64" s="42" t="s">
        <v>74</v>
      </c>
      <c r="D64" s="42">
        <v>2</v>
      </c>
      <c r="E64" s="42" t="s">
        <v>16</v>
      </c>
      <c r="F64" s="50" t="s">
        <v>78</v>
      </c>
    </row>
    <row r="65" spans="1:6">
      <c r="A65" s="42">
        <v>15</v>
      </c>
      <c r="B65" s="42" t="s">
        <v>162</v>
      </c>
      <c r="C65" s="42"/>
      <c r="D65" s="42"/>
      <c r="E65" s="42"/>
      <c r="F65" s="50" t="s">
        <v>163</v>
      </c>
    </row>
  </sheetData>
  <mergeCells count="8">
    <mergeCell ref="A1:B1"/>
    <mergeCell ref="A18:F18"/>
    <mergeCell ref="A33:F33"/>
    <mergeCell ref="A49:F49"/>
    <mergeCell ref="C16:F16"/>
    <mergeCell ref="C13:F13"/>
    <mergeCell ref="C14:F14"/>
    <mergeCell ref="C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showGridLines="0" zoomScaleNormal="100" workbookViewId="0">
      <selection sqref="A1:XFD1048576"/>
    </sheetView>
  </sheetViews>
  <sheetFormatPr defaultColWidth="9.109375" defaultRowHeight="15.75"/>
  <cols>
    <col min="1" max="1" width="10.33203125" style="4" bestFit="1" customWidth="1"/>
    <col min="2" max="2" width="48.33203125" style="1" bestFit="1" customWidth="1"/>
    <col min="3" max="3" width="9.44140625" style="6" bestFit="1" customWidth="1"/>
    <col min="4" max="4" width="4" style="1" bestFit="1" customWidth="1"/>
    <col min="5" max="5" width="5.6640625" style="1" bestFit="1" customWidth="1"/>
    <col min="6" max="6" width="43.77734375" style="1" bestFit="1" customWidth="1"/>
    <col min="7" max="7" width="15.33203125" style="2" bestFit="1" customWidth="1"/>
    <col min="8" max="16384" width="9.109375" style="2"/>
  </cols>
  <sheetData>
    <row r="1" spans="1:6">
      <c r="A1" s="62" t="s">
        <v>37</v>
      </c>
      <c r="B1" s="63"/>
    </row>
    <row r="2" spans="1:6">
      <c r="A2" s="12" t="s">
        <v>0</v>
      </c>
      <c r="B2" s="18" t="s">
        <v>196</v>
      </c>
    </row>
    <row r="3" spans="1:6" ht="31.5">
      <c r="A3" s="12" t="s">
        <v>38</v>
      </c>
      <c r="B3" s="14" t="s">
        <v>160</v>
      </c>
    </row>
    <row r="4" spans="1:6">
      <c r="A4" s="12" t="s">
        <v>180</v>
      </c>
      <c r="B4" s="14" t="s">
        <v>183</v>
      </c>
    </row>
    <row r="5" spans="1:6">
      <c r="A5" s="12" t="s">
        <v>1</v>
      </c>
      <c r="B5" s="18" t="s">
        <v>190</v>
      </c>
    </row>
    <row r="6" spans="1:6">
      <c r="A6" s="12" t="s">
        <v>2</v>
      </c>
      <c r="B6" s="13" t="s">
        <v>188</v>
      </c>
    </row>
    <row r="7" spans="1:6">
      <c r="A7" s="12" t="s">
        <v>3</v>
      </c>
      <c r="B7" s="13" t="s">
        <v>59</v>
      </c>
    </row>
    <row r="8" spans="1:6" ht="31.5">
      <c r="A8" s="12" t="s">
        <v>161</v>
      </c>
      <c r="B8" s="15" t="s">
        <v>170</v>
      </c>
    </row>
    <row r="9" spans="1:6" ht="28.5" customHeight="1">
      <c r="A9" s="12" t="s">
        <v>69</v>
      </c>
      <c r="B9" s="13" t="s">
        <v>70</v>
      </c>
    </row>
    <row r="10" spans="1:6">
      <c r="A10" s="12" t="s">
        <v>45</v>
      </c>
      <c r="B10" s="13" t="s">
        <v>79</v>
      </c>
    </row>
    <row r="11" spans="1:6">
      <c r="A11" s="12" t="s">
        <v>67</v>
      </c>
      <c r="B11" s="29" t="s">
        <v>68</v>
      </c>
      <c r="C11" s="11"/>
      <c r="D11" s="11"/>
      <c r="E11" s="11"/>
      <c r="F11" s="11"/>
    </row>
    <row r="12" spans="1:6">
      <c r="B12" s="3"/>
    </row>
    <row r="13" spans="1:6">
      <c r="B13" s="3"/>
    </row>
    <row r="14" spans="1:6" ht="15.75" customHeight="1">
      <c r="A14" s="57" t="s">
        <v>9</v>
      </c>
      <c r="B14" s="58"/>
      <c r="C14" s="58"/>
      <c r="D14" s="58"/>
      <c r="E14" s="58"/>
      <c r="F14" s="59"/>
    </row>
    <row r="15" spans="1:6">
      <c r="A15" s="20" t="s">
        <v>10</v>
      </c>
      <c r="B15" s="22" t="s">
        <v>11</v>
      </c>
      <c r="C15" s="21" t="s">
        <v>12</v>
      </c>
      <c r="D15" s="21" t="s">
        <v>13</v>
      </c>
      <c r="E15" s="21" t="s">
        <v>14</v>
      </c>
      <c r="F15" s="21" t="s">
        <v>6</v>
      </c>
    </row>
    <row r="16" spans="1:6">
      <c r="A16" s="19">
        <v>1</v>
      </c>
      <c r="B16" s="23" t="s">
        <v>4</v>
      </c>
      <c r="C16" s="24" t="s">
        <v>15</v>
      </c>
      <c r="D16" s="25">
        <v>2</v>
      </c>
      <c r="E16" s="25" t="s">
        <v>16</v>
      </c>
      <c r="F16" s="24" t="s">
        <v>17</v>
      </c>
    </row>
    <row r="17" spans="1:7">
      <c r="A17" s="19">
        <v>2</v>
      </c>
      <c r="B17" s="23" t="s">
        <v>153</v>
      </c>
      <c r="C17" s="24" t="s">
        <v>19</v>
      </c>
      <c r="D17" s="25">
        <v>1</v>
      </c>
      <c r="E17" s="25" t="s">
        <v>16</v>
      </c>
      <c r="F17" s="24" t="s">
        <v>154</v>
      </c>
    </row>
    <row r="18" spans="1:7">
      <c r="A18" s="19">
        <v>3</v>
      </c>
      <c r="B18" s="23" t="s">
        <v>18</v>
      </c>
      <c r="C18" s="24" t="s">
        <v>19</v>
      </c>
      <c r="D18" s="25">
        <v>6</v>
      </c>
      <c r="E18" s="25" t="s">
        <v>16</v>
      </c>
      <c r="F18" s="28"/>
    </row>
    <row r="19" spans="1:7">
      <c r="A19" s="19">
        <v>4</v>
      </c>
      <c r="B19" s="18" t="s">
        <v>20</v>
      </c>
      <c r="C19" s="30" t="s">
        <v>21</v>
      </c>
      <c r="D19" s="31">
        <v>11</v>
      </c>
      <c r="E19" s="12" t="s">
        <v>16</v>
      </c>
      <c r="F19" s="15" t="s">
        <v>40</v>
      </c>
    </row>
    <row r="20" spans="1:7">
      <c r="A20" s="19">
        <v>5</v>
      </c>
      <c r="B20" s="23" t="s">
        <v>61</v>
      </c>
      <c r="C20" s="24" t="s">
        <v>15</v>
      </c>
      <c r="D20" s="25">
        <v>5</v>
      </c>
      <c r="E20" s="25" t="s">
        <v>16</v>
      </c>
      <c r="F20" s="32"/>
    </row>
    <row r="21" spans="1:7">
      <c r="A21" s="19">
        <v>6</v>
      </c>
      <c r="B21" s="23" t="s">
        <v>62</v>
      </c>
      <c r="C21" s="24" t="s">
        <v>15</v>
      </c>
      <c r="D21" s="25">
        <v>5</v>
      </c>
      <c r="E21" s="25" t="s">
        <v>16</v>
      </c>
      <c r="F21" s="32"/>
    </row>
    <row r="22" spans="1:7">
      <c r="A22" s="19">
        <v>7</v>
      </c>
      <c r="B22" s="23" t="s">
        <v>63</v>
      </c>
      <c r="C22" s="24" t="s">
        <v>15</v>
      </c>
      <c r="D22" s="25">
        <v>5</v>
      </c>
      <c r="E22" s="25" t="s">
        <v>16</v>
      </c>
      <c r="F22" s="32"/>
    </row>
    <row r="23" spans="1:7">
      <c r="A23" s="19">
        <v>8</v>
      </c>
      <c r="B23" s="23" t="s">
        <v>64</v>
      </c>
      <c r="C23" s="24" t="s">
        <v>15</v>
      </c>
      <c r="D23" s="25">
        <v>5</v>
      </c>
      <c r="E23" s="25" t="s">
        <v>16</v>
      </c>
      <c r="F23" s="32"/>
    </row>
    <row r="24" spans="1:7" ht="15" customHeight="1">
      <c r="A24" s="19">
        <v>9</v>
      </c>
      <c r="B24" s="23" t="s">
        <v>65</v>
      </c>
      <c r="C24" s="24" t="s">
        <v>66</v>
      </c>
      <c r="D24" s="25">
        <v>20</v>
      </c>
      <c r="E24" s="25" t="s">
        <v>16</v>
      </c>
      <c r="F24" s="26" t="s">
        <v>185</v>
      </c>
    </row>
    <row r="25" spans="1:7">
      <c r="A25" s="19">
        <v>10</v>
      </c>
      <c r="B25" s="23" t="s">
        <v>41</v>
      </c>
      <c r="C25" s="24" t="s">
        <v>19</v>
      </c>
      <c r="D25" s="25">
        <v>50</v>
      </c>
      <c r="E25" s="25" t="s">
        <v>27</v>
      </c>
      <c r="F25" s="24"/>
    </row>
    <row r="26" spans="1:7">
      <c r="A26" s="19">
        <v>11</v>
      </c>
      <c r="B26" s="23" t="s">
        <v>41</v>
      </c>
      <c r="C26" s="24" t="s">
        <v>19</v>
      </c>
      <c r="D26" s="25">
        <v>50</v>
      </c>
      <c r="E26" s="25" t="s">
        <v>27</v>
      </c>
      <c r="F26" s="24"/>
    </row>
    <row r="27" spans="1:7">
      <c r="B27" s="3"/>
    </row>
    <row r="28" spans="1:7">
      <c r="A28" s="57" t="s">
        <v>30</v>
      </c>
      <c r="B28" s="58"/>
      <c r="C28" s="58"/>
      <c r="D28" s="58"/>
      <c r="E28" s="58"/>
      <c r="F28" s="59"/>
    </row>
    <row r="29" spans="1:7">
      <c r="A29" s="16" t="s">
        <v>31</v>
      </c>
      <c r="B29" s="17" t="s">
        <v>11</v>
      </c>
      <c r="C29" s="21" t="s">
        <v>12</v>
      </c>
      <c r="D29" s="21" t="s">
        <v>13</v>
      </c>
      <c r="E29" s="21" t="s">
        <v>14</v>
      </c>
      <c r="F29" s="17" t="s">
        <v>6</v>
      </c>
    </row>
    <row r="30" spans="1:7">
      <c r="A30" s="12">
        <v>1</v>
      </c>
      <c r="B30" s="23" t="s">
        <v>4</v>
      </c>
      <c r="C30" s="24" t="s">
        <v>15</v>
      </c>
      <c r="D30" s="28">
        <v>2</v>
      </c>
      <c r="E30" s="25" t="s">
        <v>16</v>
      </c>
      <c r="F30" s="24" t="s">
        <v>32</v>
      </c>
    </row>
    <row r="31" spans="1:7">
      <c r="A31" s="12">
        <f>SUM(A30+1)</f>
        <v>2</v>
      </c>
      <c r="B31" s="18" t="s">
        <v>33</v>
      </c>
      <c r="C31" s="24" t="s">
        <v>15</v>
      </c>
      <c r="D31" s="28">
        <v>8</v>
      </c>
      <c r="E31" s="25" t="s">
        <v>16</v>
      </c>
      <c r="F31" s="18" t="s">
        <v>34</v>
      </c>
      <c r="G31" s="5"/>
    </row>
    <row r="32" spans="1:7">
      <c r="A32" s="12">
        <f t="shared" ref="A32:A36" si="0">SUM(A31+1)</f>
        <v>3</v>
      </c>
      <c r="B32" s="18" t="s">
        <v>172</v>
      </c>
      <c r="C32" s="24" t="s">
        <v>15</v>
      </c>
      <c r="D32" s="28">
        <v>8</v>
      </c>
      <c r="E32" s="25" t="s">
        <v>16</v>
      </c>
      <c r="F32" s="18"/>
      <c r="G32" s="5"/>
    </row>
    <row r="33" spans="1:7">
      <c r="A33" s="12">
        <f t="shared" si="0"/>
        <v>4</v>
      </c>
      <c r="B33" s="18" t="s">
        <v>142</v>
      </c>
      <c r="C33" s="24" t="s">
        <v>15</v>
      </c>
      <c r="D33" s="28">
        <v>10</v>
      </c>
      <c r="E33" s="25" t="s">
        <v>16</v>
      </c>
      <c r="F33" s="18"/>
      <c r="G33" s="5"/>
    </row>
    <row r="34" spans="1:7" ht="47.25">
      <c r="A34" s="12">
        <f t="shared" si="0"/>
        <v>5</v>
      </c>
      <c r="B34" s="18" t="s">
        <v>158</v>
      </c>
      <c r="C34" s="24" t="s">
        <v>15</v>
      </c>
      <c r="D34" s="28">
        <v>2</v>
      </c>
      <c r="E34" s="25" t="s">
        <v>16</v>
      </c>
      <c r="F34" s="14" t="s">
        <v>159</v>
      </c>
      <c r="G34" s="5"/>
    </row>
    <row r="35" spans="1:7">
      <c r="A35" s="12">
        <f t="shared" si="0"/>
        <v>6</v>
      </c>
      <c r="B35" s="18" t="s">
        <v>42</v>
      </c>
      <c r="C35" s="24" t="s">
        <v>21</v>
      </c>
      <c r="D35" s="28">
        <v>15</v>
      </c>
      <c r="E35" s="25" t="s">
        <v>35</v>
      </c>
      <c r="F35" s="18" t="s">
        <v>197</v>
      </c>
      <c r="G35" s="5"/>
    </row>
    <row r="36" spans="1:7">
      <c r="A36" s="12">
        <f t="shared" si="0"/>
        <v>7</v>
      </c>
      <c r="B36" s="18" t="s">
        <v>46</v>
      </c>
      <c r="C36" s="24" t="s">
        <v>21</v>
      </c>
      <c r="D36" s="28">
        <v>15</v>
      </c>
      <c r="E36" s="25" t="s">
        <v>35</v>
      </c>
      <c r="F36" s="14" t="s">
        <v>198</v>
      </c>
      <c r="G36" s="5"/>
    </row>
    <row r="42" spans="1:7">
      <c r="A42" s="2"/>
    </row>
  </sheetData>
  <mergeCells count="3">
    <mergeCell ref="A1:B1"/>
    <mergeCell ref="A14:F14"/>
    <mergeCell ref="A28:F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showGridLines="0" workbookViewId="0">
      <selection activeCell="B9" sqref="B9"/>
    </sheetView>
  </sheetViews>
  <sheetFormatPr defaultRowHeight="15"/>
  <cols>
    <col min="1" max="1" width="6.33203125" style="9" bestFit="1" customWidth="1"/>
    <col min="2" max="2" width="26.33203125" customWidth="1"/>
    <col min="3" max="3" width="9.6640625" bestFit="1" customWidth="1"/>
    <col min="5" max="5" width="39.109375" bestFit="1" customWidth="1"/>
  </cols>
  <sheetData>
    <row r="1" spans="1:5" ht="15.75">
      <c r="A1" s="8"/>
      <c r="B1" s="1" t="s">
        <v>58</v>
      </c>
    </row>
    <row r="3" spans="1:5" ht="15.75">
      <c r="A3" s="33" t="s">
        <v>47</v>
      </c>
      <c r="B3" s="34" t="s">
        <v>48</v>
      </c>
      <c r="C3" s="34" t="s">
        <v>12</v>
      </c>
      <c r="D3" s="34" t="s">
        <v>13</v>
      </c>
      <c r="E3" s="34" t="s">
        <v>6</v>
      </c>
    </row>
    <row r="4" spans="1:5" ht="15.75">
      <c r="A4" s="35">
        <v>1</v>
      </c>
      <c r="B4" s="27" t="s">
        <v>47</v>
      </c>
      <c r="C4" s="24" t="s">
        <v>15</v>
      </c>
      <c r="D4" s="28">
        <v>8</v>
      </c>
      <c r="E4" s="18" t="s">
        <v>34</v>
      </c>
    </row>
    <row r="5" spans="1:5" ht="15.75">
      <c r="A5" s="35">
        <v>2</v>
      </c>
      <c r="B5" s="27" t="s">
        <v>51</v>
      </c>
      <c r="C5" s="24" t="s">
        <v>15</v>
      </c>
      <c r="D5" s="28">
        <v>8</v>
      </c>
      <c r="E5" s="18" t="s">
        <v>54</v>
      </c>
    </row>
    <row r="6" spans="1:5" ht="15.75">
      <c r="A6" s="35">
        <v>3</v>
      </c>
      <c r="B6" s="27" t="s">
        <v>49</v>
      </c>
      <c r="C6" s="27" t="s">
        <v>21</v>
      </c>
      <c r="D6" s="27">
        <v>250</v>
      </c>
      <c r="E6" s="27" t="s">
        <v>55</v>
      </c>
    </row>
    <row r="7" spans="1:5" ht="15.75">
      <c r="A7" s="35">
        <v>4</v>
      </c>
      <c r="B7" s="27" t="s">
        <v>50</v>
      </c>
      <c r="C7" s="27" t="s">
        <v>21</v>
      </c>
      <c r="D7" s="27">
        <v>250</v>
      </c>
      <c r="E7" s="27" t="s">
        <v>56</v>
      </c>
    </row>
    <row r="8" spans="1:5" ht="15.75">
      <c r="A8" s="35">
        <v>5</v>
      </c>
      <c r="B8" s="27" t="s">
        <v>52</v>
      </c>
      <c r="C8" s="27" t="s">
        <v>21</v>
      </c>
      <c r="D8" s="27">
        <v>10</v>
      </c>
      <c r="E8" s="27" t="s">
        <v>52</v>
      </c>
    </row>
    <row r="9" spans="1:5" ht="15.75">
      <c r="A9" s="35">
        <v>6</v>
      </c>
      <c r="B9" s="27" t="s">
        <v>53</v>
      </c>
      <c r="C9" s="27" t="s">
        <v>21</v>
      </c>
      <c r="D9" s="27">
        <v>250</v>
      </c>
      <c r="E9" s="27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5"/>
  <sheetViews>
    <sheetView showGridLines="0" tabSelected="1" topLeftCell="B1" workbookViewId="0">
      <selection activeCell="F5" sqref="F5"/>
    </sheetView>
  </sheetViews>
  <sheetFormatPr defaultColWidth="16.88671875" defaultRowHeight="15"/>
  <cols>
    <col min="1" max="1" width="5.77734375" bestFit="1" customWidth="1"/>
    <col min="3" max="3" width="34.109375" customWidth="1"/>
  </cols>
  <sheetData>
    <row r="3" spans="1:3" ht="15.75">
      <c r="A3" s="36" t="s">
        <v>31</v>
      </c>
      <c r="B3" s="36" t="s">
        <v>52</v>
      </c>
      <c r="C3" s="36" t="s">
        <v>53</v>
      </c>
    </row>
    <row r="4" spans="1:3" ht="15.75">
      <c r="A4" s="37">
        <v>1</v>
      </c>
      <c r="B4" s="38" t="s">
        <v>80</v>
      </c>
      <c r="C4" s="37" t="s">
        <v>102</v>
      </c>
    </row>
    <row r="5" spans="1:3" ht="15.75">
      <c r="A5" s="37">
        <v>2</v>
      </c>
      <c r="B5" s="38" t="s">
        <v>81</v>
      </c>
      <c r="C5" s="37" t="s">
        <v>103</v>
      </c>
    </row>
    <row r="6" spans="1:3" ht="15.75">
      <c r="A6" s="37">
        <v>3</v>
      </c>
      <c r="B6" s="38" t="s">
        <v>82</v>
      </c>
      <c r="C6" s="37" t="s">
        <v>104</v>
      </c>
    </row>
    <row r="7" spans="1:3" ht="15.75">
      <c r="A7" s="37">
        <v>4</v>
      </c>
      <c r="B7" s="38" t="s">
        <v>83</v>
      </c>
      <c r="C7" s="37" t="s">
        <v>105</v>
      </c>
    </row>
    <row r="8" spans="1:3" ht="31.5">
      <c r="A8" s="37">
        <v>5</v>
      </c>
      <c r="B8" s="38" t="s">
        <v>84</v>
      </c>
      <c r="C8" s="37" t="s">
        <v>106</v>
      </c>
    </row>
    <row r="9" spans="1:3" ht="15.75">
      <c r="A9" s="37">
        <v>6</v>
      </c>
      <c r="B9" s="38" t="s">
        <v>85</v>
      </c>
      <c r="C9" s="37" t="s">
        <v>107</v>
      </c>
    </row>
    <row r="10" spans="1:3" ht="15.75">
      <c r="A10" s="37">
        <v>7</v>
      </c>
      <c r="B10" s="38" t="s">
        <v>86</v>
      </c>
      <c r="C10" s="37" t="s">
        <v>108</v>
      </c>
    </row>
    <row r="11" spans="1:3" ht="15.75">
      <c r="A11" s="37">
        <v>8</v>
      </c>
      <c r="B11" s="38" t="s">
        <v>87</v>
      </c>
      <c r="C11" s="37" t="s">
        <v>109</v>
      </c>
    </row>
    <row r="12" spans="1:3" ht="31.5">
      <c r="A12" s="37">
        <v>9</v>
      </c>
      <c r="B12" s="38" t="s">
        <v>88</v>
      </c>
      <c r="C12" s="37" t="s">
        <v>110</v>
      </c>
    </row>
    <row r="13" spans="1:3" ht="15.75">
      <c r="A13" s="37">
        <v>10</v>
      </c>
      <c r="B13" s="38" t="s">
        <v>89</v>
      </c>
      <c r="C13" s="37" t="s">
        <v>111</v>
      </c>
    </row>
    <row r="14" spans="1:3" ht="15.75">
      <c r="A14" s="37">
        <v>11</v>
      </c>
      <c r="B14" s="38" t="s">
        <v>90</v>
      </c>
      <c r="C14" s="37" t="s">
        <v>112</v>
      </c>
    </row>
    <row r="15" spans="1:3" ht="15.75">
      <c r="A15" s="37">
        <v>12</v>
      </c>
      <c r="B15" s="38" t="s">
        <v>91</v>
      </c>
      <c r="C15" s="37" t="s">
        <v>113</v>
      </c>
    </row>
    <row r="16" spans="1:3" ht="31.5">
      <c r="A16" s="37">
        <v>13</v>
      </c>
      <c r="B16" s="38" t="s">
        <v>92</v>
      </c>
      <c r="C16" s="37" t="s">
        <v>114</v>
      </c>
    </row>
    <row r="17" spans="1:3" ht="15.75">
      <c r="A17" s="37">
        <v>14</v>
      </c>
      <c r="B17" s="38" t="s">
        <v>93</v>
      </c>
      <c r="C17" s="37" t="s">
        <v>115</v>
      </c>
    </row>
    <row r="18" spans="1:3" ht="15.75">
      <c r="A18" s="37">
        <v>15</v>
      </c>
      <c r="B18" s="38" t="s">
        <v>94</v>
      </c>
      <c r="C18" s="37" t="s">
        <v>116</v>
      </c>
    </row>
    <row r="19" spans="1:3" ht="15.75">
      <c r="A19" s="37">
        <v>16</v>
      </c>
      <c r="B19" s="38" t="s">
        <v>95</v>
      </c>
      <c r="C19" s="37" t="s">
        <v>117</v>
      </c>
    </row>
    <row r="20" spans="1:3" ht="15.75">
      <c r="A20" s="37">
        <v>17</v>
      </c>
      <c r="B20" s="38" t="s">
        <v>96</v>
      </c>
      <c r="C20" s="37" t="s">
        <v>118</v>
      </c>
    </row>
    <row r="21" spans="1:3" ht="31.5">
      <c r="A21" s="37">
        <v>18</v>
      </c>
      <c r="B21" s="38" t="s">
        <v>97</v>
      </c>
      <c r="C21" s="37" t="s">
        <v>119</v>
      </c>
    </row>
    <row r="22" spans="1:3" ht="15.75">
      <c r="A22" s="37">
        <v>19</v>
      </c>
      <c r="B22" s="38" t="s">
        <v>98</v>
      </c>
      <c r="C22" s="37" t="s">
        <v>120</v>
      </c>
    </row>
    <row r="23" spans="1:3" ht="31.5">
      <c r="A23" s="37">
        <v>20</v>
      </c>
      <c r="B23" s="38" t="s">
        <v>99</v>
      </c>
      <c r="C23" s="37" t="s">
        <v>121</v>
      </c>
    </row>
    <row r="24" spans="1:3" ht="31.5">
      <c r="A24" s="37">
        <v>21</v>
      </c>
      <c r="B24" s="38" t="s">
        <v>100</v>
      </c>
      <c r="C24" s="37" t="s">
        <v>122</v>
      </c>
    </row>
    <row r="25" spans="1:3" ht="15.75">
      <c r="A25" s="37">
        <v>22</v>
      </c>
      <c r="B25" s="38" t="s">
        <v>101</v>
      </c>
      <c r="C25" s="37" t="s">
        <v>123</v>
      </c>
    </row>
    <row r="26" spans="1:3" ht="31.5">
      <c r="A26" s="37">
        <v>23</v>
      </c>
      <c r="B26" s="38" t="s">
        <v>132</v>
      </c>
      <c r="C26" s="37" t="s">
        <v>124</v>
      </c>
    </row>
    <row r="27" spans="1:3" ht="15.75">
      <c r="A27" s="37">
        <v>24</v>
      </c>
      <c r="B27" s="38" t="s">
        <v>133</v>
      </c>
      <c r="C27" s="37" t="s">
        <v>125</v>
      </c>
    </row>
    <row r="28" spans="1:3" ht="15.75">
      <c r="A28" s="37">
        <v>25</v>
      </c>
      <c r="B28" s="38" t="s">
        <v>134</v>
      </c>
      <c r="C28" s="37" t="s">
        <v>126</v>
      </c>
    </row>
    <row r="29" spans="1:3" ht="31.5">
      <c r="A29" s="37">
        <v>26</v>
      </c>
      <c r="B29" s="38" t="s">
        <v>135</v>
      </c>
      <c r="C29" s="37" t="s">
        <v>119</v>
      </c>
    </row>
    <row r="30" spans="1:3" ht="15.75">
      <c r="A30" s="37">
        <v>27</v>
      </c>
      <c r="B30" s="38" t="s">
        <v>136</v>
      </c>
      <c r="C30" s="37" t="s">
        <v>120</v>
      </c>
    </row>
    <row r="31" spans="1:3" ht="31.5">
      <c r="A31" s="37">
        <v>28</v>
      </c>
      <c r="B31" s="38" t="s">
        <v>137</v>
      </c>
      <c r="C31" s="37" t="s">
        <v>127</v>
      </c>
    </row>
    <row r="32" spans="1:3" ht="31.5">
      <c r="A32" s="37">
        <v>29</v>
      </c>
      <c r="B32" s="38" t="s">
        <v>138</v>
      </c>
      <c r="C32" s="37" t="s">
        <v>128</v>
      </c>
    </row>
    <row r="33" spans="1:3" ht="15.75">
      <c r="A33" s="37">
        <v>30</v>
      </c>
      <c r="B33" s="38" t="s">
        <v>139</v>
      </c>
      <c r="C33" s="37" t="s">
        <v>129</v>
      </c>
    </row>
    <row r="34" spans="1:3" ht="15.75">
      <c r="A34" s="37">
        <v>31</v>
      </c>
      <c r="B34" s="38" t="s">
        <v>140</v>
      </c>
      <c r="C34" s="37" t="s">
        <v>130</v>
      </c>
    </row>
    <row r="35" spans="1:3" ht="15.75">
      <c r="A35" s="37">
        <v>32</v>
      </c>
      <c r="B35" s="38" t="s">
        <v>141</v>
      </c>
      <c r="C35" s="37" t="s">
        <v>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Recon Request</vt:lpstr>
      <vt:lpstr>Recon Response</vt:lpstr>
      <vt:lpstr>Error Response File</vt:lpstr>
      <vt:lpstr>Error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Neeraj Rana</dc:creator>
  <cp:keywords/>
  <dc:description/>
  <cp:lastModifiedBy>Prathmesh Kokitkar</cp:lastModifiedBy>
  <cp:revision/>
  <dcterms:created xsi:type="dcterms:W3CDTF">2025-08-22T09:06:44Z</dcterms:created>
  <dcterms:modified xsi:type="dcterms:W3CDTF">2026-08-11T11:16:48Z</dcterms:modified>
  <cp:category/>
  <cp:contentStatus/>
</cp:coreProperties>
</file>